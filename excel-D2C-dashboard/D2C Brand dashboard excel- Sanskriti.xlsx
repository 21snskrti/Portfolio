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OneDrive\Desktop\Documents\"/>
    </mc:Choice>
  </mc:AlternateContent>
  <xr:revisionPtr revIDLastSave="0" documentId="13_ncr:1_{1FEFA1DB-B186-4E81-AC76-E8DEEFB60D8C}" xr6:coauthVersionLast="47" xr6:coauthVersionMax="47" xr10:uidLastSave="{00000000-0000-0000-0000-000000000000}"/>
  <bookViews>
    <workbookView xWindow="-110" yWindow="-110" windowWidth="19420" windowHeight="10300" firstSheet="1" activeTab="7" xr2:uid="{08580301-7000-4FA6-8B14-67041375DC19}"/>
  </bookViews>
  <sheets>
    <sheet name="Products" sheetId="1" r:id="rId1"/>
    <sheet name="Custromers" sheetId="3" r:id="rId2"/>
    <sheet name="Orders" sheetId="2" r:id="rId3"/>
    <sheet name="Pivot_month" sheetId="15" r:id="rId4"/>
    <sheet name="Pivot_product" sheetId="18" r:id="rId5"/>
    <sheet name="Pivot_category" sheetId="17" r:id="rId6"/>
    <sheet name="Pivot_city" sheetId="16" r:id="rId7"/>
    <sheet name="Dashboard" sheetId="4" r:id="rId8"/>
  </sheets>
  <definedNames>
    <definedName name="Slicer_City1">#N/A</definedName>
  </definedNames>
  <calcPr calcId="191029"/>
  <pivotCaches>
    <pivotCache cacheId="5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4" l="1"/>
  <c r="C13" i="4"/>
  <c r="M26" i="2"/>
  <c r="M25" i="2"/>
  <c r="M24" i="2"/>
  <c r="M23" i="2"/>
  <c r="M22" i="2"/>
  <c r="M21" i="2"/>
  <c r="M20" i="2"/>
  <c r="M19" i="2"/>
  <c r="M18" i="2"/>
  <c r="M17" i="2"/>
  <c r="M16" i="2"/>
  <c r="M15" i="2"/>
  <c r="M14" i="2"/>
  <c r="M13" i="2"/>
  <c r="M12" i="2"/>
  <c r="M11" i="2"/>
  <c r="M10" i="2"/>
  <c r="M9" i="2"/>
  <c r="M8" i="2"/>
  <c r="M7" i="2"/>
  <c r="M6" i="2"/>
  <c r="M5" i="2"/>
  <c r="M4" i="2"/>
  <c r="M3" i="2"/>
  <c r="M2" i="2"/>
  <c r="C7" i="4"/>
  <c r="C9" i="4"/>
  <c r="C10" i="4"/>
  <c r="C8" i="4"/>
  <c r="L3" i="2"/>
  <c r="L4" i="2"/>
  <c r="L5" i="2"/>
  <c r="L7" i="2"/>
  <c r="L8" i="2"/>
  <c r="L9" i="2"/>
  <c r="L12" i="2"/>
  <c r="L14" i="2"/>
  <c r="L15" i="2"/>
  <c r="L17" i="2"/>
  <c r="L18" i="2"/>
  <c r="L19" i="2"/>
  <c r="L20" i="2"/>
  <c r="L22" i="2"/>
  <c r="L24" i="2"/>
  <c r="L25" i="2"/>
  <c r="L2" i="2"/>
  <c r="K3" i="2"/>
  <c r="K4" i="2"/>
  <c r="K5" i="2"/>
  <c r="K6" i="2"/>
  <c r="K7" i="2"/>
  <c r="K8" i="2"/>
  <c r="K9" i="2"/>
  <c r="K10" i="2"/>
  <c r="K11" i="2"/>
  <c r="K12" i="2"/>
  <c r="K13" i="2"/>
  <c r="K14" i="2"/>
  <c r="K15" i="2"/>
  <c r="K16" i="2"/>
  <c r="K17" i="2"/>
  <c r="K18" i="2"/>
  <c r="K19" i="2"/>
  <c r="K20" i="2"/>
  <c r="K21" i="2"/>
  <c r="K22" i="2"/>
  <c r="K23" i="2"/>
  <c r="K24" i="2"/>
  <c r="K25" i="2"/>
  <c r="K26" i="2"/>
  <c r="K2" i="2"/>
  <c r="J26" i="2"/>
  <c r="J25" i="2"/>
  <c r="J24" i="2"/>
  <c r="J23" i="2"/>
  <c r="J22" i="2"/>
  <c r="J21" i="2"/>
  <c r="J20" i="2"/>
  <c r="J19" i="2"/>
  <c r="J18" i="2"/>
  <c r="J17" i="2"/>
  <c r="J16" i="2"/>
  <c r="J15" i="2"/>
  <c r="J14" i="2"/>
  <c r="J13" i="2"/>
  <c r="J12" i="2"/>
  <c r="J11" i="2"/>
  <c r="J10" i="2"/>
  <c r="J9" i="2"/>
  <c r="J8" i="2"/>
  <c r="J7" i="2"/>
  <c r="J6" i="2"/>
  <c r="J5" i="2"/>
  <c r="J4" i="2"/>
  <c r="J3" i="2"/>
  <c r="J2" i="2"/>
  <c r="I3" i="2"/>
  <c r="I4" i="2"/>
  <c r="I5" i="2"/>
  <c r="I6" i="2"/>
  <c r="I7" i="2"/>
  <c r="I8" i="2"/>
  <c r="I9" i="2"/>
  <c r="I10" i="2"/>
  <c r="I11" i="2"/>
  <c r="I12" i="2"/>
  <c r="I13" i="2"/>
  <c r="I14" i="2"/>
  <c r="I15" i="2"/>
  <c r="I16" i="2"/>
  <c r="I17" i="2"/>
  <c r="I18" i="2"/>
  <c r="I19" i="2"/>
  <c r="I20" i="2"/>
  <c r="I21" i="2"/>
  <c r="I22" i="2"/>
  <c r="I23" i="2"/>
  <c r="I24" i="2"/>
  <c r="I25" i="2"/>
  <c r="I26" i="2"/>
  <c r="I2" i="2"/>
  <c r="H26" i="2"/>
  <c r="H25" i="2"/>
  <c r="H24" i="2"/>
  <c r="H23" i="2"/>
  <c r="H22" i="2"/>
  <c r="H21" i="2"/>
  <c r="H20" i="2"/>
  <c r="H19" i="2"/>
  <c r="H18" i="2"/>
  <c r="H17" i="2"/>
  <c r="H16" i="2"/>
  <c r="H15" i="2"/>
  <c r="H14" i="2"/>
  <c r="H13" i="2"/>
  <c r="H12" i="2"/>
  <c r="H11" i="2"/>
  <c r="H10" i="2"/>
  <c r="H9" i="2"/>
  <c r="H8" i="2"/>
  <c r="H7" i="2"/>
  <c r="H6" i="2"/>
  <c r="H5" i="2"/>
  <c r="H4" i="2"/>
  <c r="H3" i="2"/>
  <c r="H2" i="2"/>
  <c r="G3" i="2"/>
  <c r="G4" i="2"/>
  <c r="G5" i="2"/>
  <c r="G6" i="2"/>
  <c r="G7" i="2"/>
  <c r="G8" i="2"/>
  <c r="G9" i="2"/>
  <c r="G10" i="2"/>
  <c r="G11" i="2"/>
  <c r="G12" i="2"/>
  <c r="G13" i="2"/>
  <c r="G14" i="2"/>
  <c r="G15" i="2"/>
  <c r="G16" i="2"/>
  <c r="G17" i="2"/>
  <c r="G18" i="2"/>
  <c r="G19" i="2"/>
  <c r="G20" i="2"/>
  <c r="G21" i="2"/>
  <c r="G22" i="2"/>
  <c r="G23" i="2"/>
  <c r="G24" i="2"/>
  <c r="G25" i="2"/>
  <c r="G26" i="2"/>
  <c r="G2" i="2"/>
  <c r="C12" i="3"/>
  <c r="L11" i="2" s="1"/>
  <c r="C11" i="3"/>
  <c r="L13" i="2" s="1"/>
  <c r="C9" i="3"/>
  <c r="L26" i="2" s="1"/>
  <c r="C8" i="3"/>
  <c r="L21" i="2" s="1"/>
  <c r="F6" i="1"/>
  <c r="F5" i="1"/>
  <c r="C8" i="1"/>
  <c r="C6" i="1"/>
  <c r="C5" i="1"/>
  <c r="L23" i="2" l="1"/>
  <c r="L16" i="2"/>
  <c r="L6" i="2"/>
  <c r="L10" i="2"/>
  <c r="C11" i="4"/>
</calcChain>
</file>

<file path=xl/sharedStrings.xml><?xml version="1.0" encoding="utf-8"?>
<sst xmlns="http://schemas.openxmlformats.org/spreadsheetml/2006/main" count="203" uniqueCount="111">
  <si>
    <t>Product_ID</t>
  </si>
  <si>
    <t>Product_Name</t>
  </si>
  <si>
    <t>Category</t>
  </si>
  <si>
    <t>COGS</t>
  </si>
  <si>
    <t>Selling Price</t>
  </si>
  <si>
    <t>Gross_Margin_%</t>
  </si>
  <si>
    <t>P001</t>
  </si>
  <si>
    <t>Lotus Stud Earrings</t>
  </si>
  <si>
    <t>Earrings</t>
  </si>
  <si>
    <t>P002</t>
  </si>
  <si>
    <t>Kundan Choker</t>
  </si>
  <si>
    <t>Necklace</t>
  </si>
  <si>
    <t>P003</t>
  </si>
  <si>
    <t>Oxidised Bangle Set</t>
  </si>
  <si>
    <t>Bangles</t>
  </si>
  <si>
    <t>P004</t>
  </si>
  <si>
    <t>Pearl Drop Earrings</t>
  </si>
  <si>
    <t>P005</t>
  </si>
  <si>
    <t>Terracotta Necklace</t>
  </si>
  <si>
    <t>P006</t>
  </si>
  <si>
    <t>Ghungroo Anklet</t>
  </si>
  <si>
    <t>P007</t>
  </si>
  <si>
    <t>Mirror Work Earrings</t>
  </si>
  <si>
    <t>P008</t>
  </si>
  <si>
    <t>Silver Toe Ring Set</t>
  </si>
  <si>
    <t>Anklets</t>
  </si>
  <si>
    <t>Toe Rings</t>
  </si>
  <si>
    <t>Customer_ID</t>
  </si>
  <si>
    <t>Customer_Type</t>
  </si>
  <si>
    <t>Customer_Name</t>
  </si>
  <si>
    <t>City</t>
  </si>
  <si>
    <t>C001</t>
  </si>
  <si>
    <t>C002</t>
  </si>
  <si>
    <t>C003</t>
  </si>
  <si>
    <t>C004</t>
  </si>
  <si>
    <t>C005</t>
  </si>
  <si>
    <t>C006</t>
  </si>
  <si>
    <t>C007</t>
  </si>
  <si>
    <t>C008</t>
  </si>
  <si>
    <t>C009</t>
  </si>
  <si>
    <t>C010</t>
  </si>
  <si>
    <t>Priya Sharma</t>
  </si>
  <si>
    <t>Ananya Bose</t>
  </si>
  <si>
    <t>Meera Iyer</t>
  </si>
  <si>
    <t>Ritu Agarwal</t>
  </si>
  <si>
    <t>Sneha Pillai</t>
  </si>
  <si>
    <t>Divya Nair</t>
  </si>
  <si>
    <t>Kavita Mishra</t>
  </si>
  <si>
    <t>Pooja Reddy</t>
  </si>
  <si>
    <t>Nisha Gupta</t>
  </si>
  <si>
    <t>Tanvi Mehta</t>
  </si>
  <si>
    <t>Delhi</t>
  </si>
  <si>
    <t>Kolkata</t>
  </si>
  <si>
    <t>Bangalore</t>
  </si>
  <si>
    <t>Jaipur</t>
  </si>
  <si>
    <t>Mumbai</t>
  </si>
  <si>
    <t>Hyderabad</t>
  </si>
  <si>
    <t>Repeat</t>
  </si>
  <si>
    <t>New</t>
  </si>
  <si>
    <t>Order_ID</t>
  </si>
  <si>
    <t>Order_Date</t>
  </si>
  <si>
    <t>Quantity</t>
  </si>
  <si>
    <t>Order_Month</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</si>
  <si>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</si>
  <si>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</si>
  <si>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</si>
  <si>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</si>
  <si>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</si>
  <si>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</si>
  <si>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</si>
  <si>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</si>
  <si>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</si>
  <si>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</si>
  <si>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</si>
  <si>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</si>
  <si>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</si>
  <si>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</si>
  <si>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</si>
  <si>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</si>
  <si>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</si>
  <si>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</si>
  <si>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</si>
  <si>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</si>
  <si>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</si>
  <si>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</si>
  <si>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</si>
  <si>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</si>
  <si>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</si>
  <si>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Selling_Price</t>
  </si>
  <si>
    <t>Revenue</t>
  </si>
  <si>
    <t>Gross_Profit</t>
  </si>
  <si>
    <t>Row Labels</t>
  </si>
  <si>
    <t>Sum of Revenue</t>
  </si>
  <si>
    <t>Grand Total</t>
  </si>
  <si>
    <t>Sum of Gross_Profit</t>
  </si>
  <si>
    <t>Total Revenue</t>
  </si>
  <si>
    <t>Total Orders</t>
  </si>
  <si>
    <t>Average Order Value</t>
  </si>
  <si>
    <t>Total Gross Profit</t>
  </si>
  <si>
    <t>Gross Margin %</t>
  </si>
  <si>
    <t>Built by Sanskriti | BCom Hons, IPCW | Elara D2C Brand</t>
  </si>
  <si>
    <t>Avg. Revenue per Customer (LTV proxy)</t>
  </si>
  <si>
    <t>Unique Customers</t>
  </si>
  <si>
    <t>CAC</t>
  </si>
  <si>
    <t>Data not available</t>
  </si>
  <si>
    <t>Period: April 2026 – August 20246|  D2C Handcrafted Jewellery</t>
  </si>
  <si>
    <t>Column1</t>
  </si>
  <si>
    <t>Column2</t>
  </si>
  <si>
    <t>Column3</t>
  </si>
  <si>
    <t>Column4</t>
  </si>
  <si>
    <t>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</si>
</sst>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8" x14ac:knownFonts="1">
    <font>
      <sz val="11"/>
      <color theme="1"/>
      <name val="Calibri"/>
      <family val="2"/>
      <scheme val="minor"/>
    </font>
    <font>
      <sz val="11"/>
      <color theme="1"/>
      <name val="Calibri"/>
      <family val="2"/>
      <scheme val="minor"/>
    </font>
    <font>
      <sz val="8"/>
      <name val="Calibri"/>
      <family val="2"/>
      <scheme val="minor"/>
    </font>
    <font>
      <b/>
      <sz val="18"/>
      <color rgb="FF002060"/>
      <name val="Calibri"/>
      <family val="2"/>
      <scheme val="minor"/>
    </font>
    <font>
      <sz val="10"/>
      <color theme="1" tint="0.34998626667073579"/>
      <name val="Calibri"/>
      <family val="2"/>
      <scheme val="minor"/>
    </font>
    <font>
      <sz val="10"/>
      <color theme="2" tint="-0.499984740745262"/>
      <name val="Calibri"/>
      <family val="2"/>
      <scheme val="minor"/>
    </font>
    <font>
      <sz val="11"/>
      <color theme="1" tint="0.34998626667073579"/>
      <name val="Calibri"/>
      <family val="2"/>
      <scheme val="minor"/>
    </font>
    <font>
      <b/>
      <sz val="14"/>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applyAlignment="1">
      <alignment vertical="center" wrapText="1"/>
    </xf>
    <xf numFmtId="9" fontId="0" fillId="0" borderId="0" xfId="1" applyNumberFormat="1" applyFont="1"/>
    <xf numFmtId="14" fontId="0" fillId="0" borderId="0" xfId="0" applyNumberFormat="1"/>
    <xf numFmtId="14" fontId="0" fillId="0" borderId="0" xfId="0" applyNumberFormat="1" applyAlignment="1">
      <alignment vertical="center" wrapText="1"/>
    </xf>
    <xf numFmtId="17" fontId="0" fillId="0" borderId="0" xfId="0" applyNumberFormat="1" applyAlignment="1">
      <alignment vertical="center" wrapText="1"/>
    </xf>
    <xf numFmtId="1" fontId="0" fillId="0" borderId="0" xfId="0" applyNumberFormat="1"/>
    <xf numFmtId="0" fontId="0" fillId="0" borderId="0" xfId="0" pivotButton="1"/>
    <xf numFmtId="17" fontId="0" fillId="0" borderId="0" xfId="0" applyNumberFormat="1" applyAlignment="1">
      <alignment horizontal="left"/>
    </xf>
    <xf numFmtId="0" fontId="0" fillId="0" borderId="0" xfId="0" applyAlignment="1">
      <alignment horizontal="left"/>
    </xf>
    <xf numFmtId="0" fontId="3" fillId="0" borderId="0" xfId="0" applyFont="1" applyAlignment="1">
      <alignment vertical="center"/>
    </xf>
    <xf numFmtId="0" fontId="5" fillId="0" borderId="0" xfId="0" applyFont="1" applyAlignment="1">
      <alignment vertical="center"/>
    </xf>
    <xf numFmtId="0" fontId="6" fillId="2" borderId="0" xfId="0" applyFont="1" applyFill="1"/>
    <xf numFmtId="1" fontId="7" fillId="2" borderId="0" xfId="0" applyNumberFormat="1" applyFont="1" applyFill="1"/>
    <xf numFmtId="169" fontId="7" fillId="2" borderId="0" xfId="0" applyNumberFormat="1" applyFont="1" applyFill="1"/>
    <xf numFmtId="0" fontId="6" fillId="0" borderId="0" xfId="0" applyFont="1"/>
    <xf numFmtId="0" fontId="0" fillId="0" borderId="0" xfId="0" applyFont="1" applyAlignment="1">
      <alignment vertical="center"/>
    </xf>
    <xf numFmtId="0" fontId="4" fillId="2" borderId="0" xfId="0" applyFont="1" applyFill="1" applyAlignment="1">
      <alignment vertical="center"/>
    </xf>
    <xf numFmtId="0" fontId="7" fillId="2" borderId="0" xfId="0" applyFont="1" applyFill="1"/>
  </cellXfs>
  <cellStyles count="2">
    <cellStyle name="Normal" xfId="0" builtinId="0"/>
    <cellStyle name="Percent" xfId="1" builtinId="5"/>
  </cellStyles>
  <dxfs count="12">
    <dxf>
      <numFmt numFmtId="1" formatCode="0"/>
    </dxf>
    <dxf>
      <numFmt numFmtId="1" formatCode="0"/>
    </dxf>
    <dxf>
      <numFmt numFmtId="1" formatCode="0"/>
    </dxf>
    <dxf>
      <numFmt numFmtId="1" formatCode="0"/>
    </dxf>
    <dxf>
      <numFmt numFmtId="1" formatCode="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Brand dashboard excel- Sanskriti.xlsx]Pivot_month!PivotTable9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Pivot_month!$B$3</c:f>
              <c:strCache>
                <c:ptCount val="1"/>
                <c:pt idx="0">
                  <c:v>Total</c:v>
                </c:pt>
              </c:strCache>
            </c:strRef>
          </c:tx>
          <c:spPr>
            <a:ln w="28575" cap="rnd">
              <a:solidFill>
                <a:schemeClr val="accent1"/>
              </a:solidFill>
              <a:round/>
            </a:ln>
            <a:effectLst/>
          </c:spPr>
          <c:marker>
            <c:symbol val="none"/>
          </c:marker>
          <c:cat>
            <c:strRef>
              <c:f>Pivot_month!$A$4:$A$9</c:f>
              <c:strCache>
                <c:ptCount val="5"/>
                <c:pt idx="0">
                  <c:v>Apr-24</c:v>
                </c:pt>
                <c:pt idx="1">
                  <c:v>May-24</c:v>
                </c:pt>
                <c:pt idx="2">
                  <c:v>Jun-24</c:v>
                </c:pt>
                <c:pt idx="3">
                  <c:v>Jul-24</c:v>
                </c:pt>
                <c:pt idx="4">
                  <c:v>Aug-24</c:v>
                </c:pt>
              </c:strCache>
            </c:strRef>
          </c:cat>
          <c:val>
            <c:numRef>
              <c:f>Pivot_month!$B$4:$B$9</c:f>
              <c:numCache>
                <c:formatCode>0</c:formatCode>
                <c:ptCount val="5"/>
                <c:pt idx="0">
                  <c:v>1620</c:v>
                </c:pt>
                <c:pt idx="1">
                  <c:v>2030</c:v>
                </c:pt>
                <c:pt idx="2">
                  <c:v>1670</c:v>
                </c:pt>
                <c:pt idx="3">
                  <c:v>1980</c:v>
                </c:pt>
                <c:pt idx="4">
                  <c:v>2210</c:v>
                </c:pt>
              </c:numCache>
            </c:numRef>
          </c:val>
          <c:smooth val="0"/>
          <c:extLst>
            <c:ext xmlns:c16="http://schemas.microsoft.com/office/drawing/2014/chart" uri="{C3380CC4-5D6E-409C-BE32-E72D297353CC}">
              <c16:uniqueId val="{00000000-BAEC-4D28-86D3-2BBE22D30992}"/>
            </c:ext>
          </c:extLst>
        </c:ser>
        <c:dLbls>
          <c:showLegendKey val="0"/>
          <c:showVal val="0"/>
          <c:showCatName val="0"/>
          <c:showSerName val="0"/>
          <c:showPercent val="0"/>
          <c:showBubbleSize val="0"/>
        </c:dLbls>
        <c:smooth val="0"/>
        <c:axId val="686773680"/>
        <c:axId val="686774040"/>
      </c:lineChart>
      <c:catAx>
        <c:axId val="68677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74040"/>
        <c:crosses val="autoZero"/>
        <c:auto val="1"/>
        <c:lblAlgn val="ctr"/>
        <c:lblOffset val="100"/>
        <c:noMultiLvlLbl val="0"/>
      </c:catAx>
      <c:valAx>
        <c:axId val="686774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7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[D2C Brand dashboard excel- Sanskriti.xlsx]Pivot_product!PivotTable26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Sum of Revenue</c:v>
                </c:pt>
              </c:strCache>
            </c:strRef>
          </c:tx>
          <c:spPr>
            <a:solidFill>
              <a:schemeClr val="accent1">
                <a:shade val="76000"/>
              </a:schemeClr>
            </a:solidFill>
            <a:ln>
              <a:noFill/>
            </a:ln>
            <a:effectLst/>
          </c:spPr>
          <c:invertIfNegative val="0"/>
          <c:cat>
            <c:strRef>
              <c:f>Pivot_product!$A$4:$A$12</c:f>
              <c:strCache>
                <c:ptCount val="8"/>
                <c:pt idx="0">
                  <c:v>Ghungroo Anklet</c:v>
                </c:pt>
                <c:pt idx="1">
                  <c:v>Kundan Choker</c:v>
                </c:pt>
                <c:pt idx="2">
                  <c:v>Lotus Stud Earrings</c:v>
                </c:pt>
                <c:pt idx="3">
                  <c:v>Mirror Work Earrings</c:v>
                </c:pt>
                <c:pt idx="4">
                  <c:v>Oxidised Bangle Set</c:v>
                </c:pt>
                <c:pt idx="5">
                  <c:v>Pearl Drop Earrings</c:v>
                </c:pt>
                <c:pt idx="6">
                  <c:v>Silver Toe Ring Set</c:v>
                </c:pt>
                <c:pt idx="7">
                  <c:v>Terracotta Necklace</c:v>
                </c:pt>
              </c:strCache>
            </c:strRef>
          </c:cat>
          <c:val>
            <c:numRef>
              <c:f>Pivot_product!$B$4:$B$12</c:f>
              <c:numCache>
                <c:formatCode>0</c:formatCode>
                <c:ptCount val="8"/>
                <c:pt idx="0">
                  <c:v>1080</c:v>
                </c:pt>
                <c:pt idx="1">
                  <c:v>1800</c:v>
                </c:pt>
                <c:pt idx="2">
                  <c:v>1540</c:v>
                </c:pt>
                <c:pt idx="3">
                  <c:v>1000</c:v>
                </c:pt>
                <c:pt idx="4">
                  <c:v>1500</c:v>
                </c:pt>
                <c:pt idx="5">
                  <c:v>750</c:v>
                </c:pt>
                <c:pt idx="6">
                  <c:v>720</c:v>
                </c:pt>
                <c:pt idx="7">
                  <c:v>1120</c:v>
                </c:pt>
              </c:numCache>
            </c:numRef>
          </c:val>
          <c:extLst>
            <c:ext xmlns:c16="http://schemas.microsoft.com/office/drawing/2014/chart" uri="{C3380CC4-5D6E-409C-BE32-E72D297353CC}">
              <c16:uniqueId val="{00000000-682D-4EF3-AC06-8007F19DC273}"/>
            </c:ext>
          </c:extLst>
        </c:ser>
        <c:ser>
          <c:idx val="1"/>
          <c:order val="1"/>
          <c:tx>
            <c:strRef>
              <c:f>Pivot_product!$C$3</c:f>
              <c:strCache>
                <c:ptCount val="1"/>
                <c:pt idx="0">
                  <c:v>Sum of Gross_Profit</c:v>
                </c:pt>
              </c:strCache>
            </c:strRef>
          </c:tx>
          <c:spPr>
            <a:solidFill>
              <a:schemeClr val="accent1">
                <a:tint val="77000"/>
              </a:schemeClr>
            </a:solidFill>
            <a:ln>
              <a:noFill/>
            </a:ln>
            <a:effectLst/>
          </c:spPr>
          <c:invertIfNegative val="0"/>
          <c:cat>
            <c:strRef>
              <c:f>Pivot_product!$A$4:$A$12</c:f>
              <c:strCache>
                <c:ptCount val="8"/>
                <c:pt idx="0">
                  <c:v>Ghungroo Anklet</c:v>
                </c:pt>
                <c:pt idx="1">
                  <c:v>Kundan Choker</c:v>
                </c:pt>
                <c:pt idx="2">
                  <c:v>Lotus Stud Earrings</c:v>
                </c:pt>
                <c:pt idx="3">
                  <c:v>Mirror Work Earrings</c:v>
                </c:pt>
                <c:pt idx="4">
                  <c:v>Oxidised Bangle Set</c:v>
                </c:pt>
                <c:pt idx="5">
                  <c:v>Pearl Drop Earrings</c:v>
                </c:pt>
                <c:pt idx="6">
                  <c:v>Silver Toe Ring Set</c:v>
                </c:pt>
                <c:pt idx="7">
                  <c:v>Terracotta Necklace</c:v>
                </c:pt>
              </c:strCache>
            </c:strRef>
          </c:cat>
          <c:val>
            <c:numRef>
              <c:f>Pivot_product!$C$4:$C$12</c:f>
              <c:numCache>
                <c:formatCode>0</c:formatCode>
                <c:ptCount val="8"/>
                <c:pt idx="0">
                  <c:v>720</c:v>
                </c:pt>
                <c:pt idx="1">
                  <c:v>1080</c:v>
                </c:pt>
                <c:pt idx="2">
                  <c:v>980</c:v>
                </c:pt>
                <c:pt idx="3">
                  <c:v>650</c:v>
                </c:pt>
                <c:pt idx="4">
                  <c:v>900</c:v>
                </c:pt>
                <c:pt idx="5">
                  <c:v>480</c:v>
                </c:pt>
                <c:pt idx="6">
                  <c:v>480</c:v>
                </c:pt>
                <c:pt idx="7">
                  <c:v>720</c:v>
                </c:pt>
              </c:numCache>
            </c:numRef>
          </c:val>
          <c:extLst>
            <c:ext xmlns:c16="http://schemas.microsoft.com/office/drawing/2014/chart" uri="{C3380CC4-5D6E-409C-BE32-E72D297353CC}">
              <c16:uniqueId val="{00000001-682D-4EF3-AC06-8007F19DC273}"/>
            </c:ext>
          </c:extLst>
        </c:ser>
        <c:dLbls>
          <c:showLegendKey val="0"/>
          <c:showVal val="0"/>
          <c:showCatName val="0"/>
          <c:showSerName val="0"/>
          <c:showPercent val="0"/>
          <c:showBubbleSize val="0"/>
        </c:dLbls>
        <c:gapWidth val="219"/>
        <c:overlap val="-27"/>
        <c:axId val="741364640"/>
        <c:axId val="741362480"/>
      </c:barChart>
      <c:catAx>
        <c:axId val="74136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62480"/>
        <c:crosses val="autoZero"/>
        <c:auto val="1"/>
        <c:lblAlgn val="ctr"/>
        <c:lblOffset val="100"/>
        <c:noMultiLvlLbl val="0"/>
      </c:catAx>
      <c:valAx>
        <c:axId val="74136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6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[D2C Brand dashboard excel- Sanskriti.xlsx]Pivot_category!PivotTable25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Pivot_category!$B$3</c:f>
              <c:strCache>
                <c:ptCount val="1"/>
                <c:pt idx="0">
                  <c:v>Total</c:v>
                </c:pt>
              </c:strCache>
            </c:strRef>
          </c:tx>
          <c:dPt>
            <c:idx val="0"/>
            <c:bubble3D val="0"/>
            <c:spPr>
              <a:solidFill>
                <a:schemeClr val="accent1">
                  <a:shade val="53000"/>
                </a:schemeClr>
              </a:solidFill>
              <a:ln w="19050">
                <a:solidFill>
                  <a:schemeClr val="lt1"/>
                </a:solidFill>
              </a:ln>
              <a:effectLst/>
            </c:spPr>
          </c:dPt>
          <c:dPt>
            <c:idx val="1"/>
            <c:bubble3D val="0"/>
            <c:spPr>
              <a:solidFill>
                <a:schemeClr val="accent1">
                  <a:shade val="76000"/>
                </a:schemeClr>
              </a:solidFill>
              <a:ln w="19050">
                <a:solidFill>
                  <a:schemeClr val="lt1"/>
                </a:solidFill>
              </a:ln>
              <a:effectLst/>
            </c:spPr>
          </c:dPt>
          <c:dPt>
            <c:idx val="2"/>
            <c:bubble3D val="0"/>
            <c:spPr>
              <a:solidFill>
                <a:schemeClr val="accent1"/>
              </a:solidFill>
              <a:ln w="19050">
                <a:solidFill>
                  <a:schemeClr val="lt1"/>
                </a:solidFill>
              </a:ln>
              <a:effectLst/>
            </c:spPr>
          </c:dPt>
          <c:dPt>
            <c:idx val="3"/>
            <c:bubble3D val="0"/>
            <c:spPr>
              <a:solidFill>
                <a:schemeClr val="accent1">
                  <a:tint val="77000"/>
                </a:schemeClr>
              </a:solidFill>
              <a:ln w="19050">
                <a:solidFill>
                  <a:schemeClr val="lt1"/>
                </a:solidFill>
              </a:ln>
              <a:effectLst/>
            </c:spPr>
          </c:dPt>
          <c:dPt>
            <c:idx val="4"/>
            <c:bubble3D val="0"/>
            <c:spPr>
              <a:solidFill>
                <a:schemeClr val="accent1">
                  <a:tint val="54000"/>
                </a:schemeClr>
              </a:solidFill>
              <a:ln w="19050">
                <a:solidFill>
                  <a:schemeClr val="lt1"/>
                </a:solidFill>
              </a:ln>
              <a:effectLst/>
            </c:spPr>
          </c:dPt>
          <c:cat>
            <c:strRef>
              <c:f>Pivot_category!$A$4:$A$9</c:f>
              <c:strCache>
                <c:ptCount val="5"/>
                <c:pt idx="0">
                  <c:v>Anklets</c:v>
                </c:pt>
                <c:pt idx="1">
                  <c:v>Bangles</c:v>
                </c:pt>
                <c:pt idx="2">
                  <c:v>Earrings</c:v>
                </c:pt>
                <c:pt idx="3">
                  <c:v>Necklace</c:v>
                </c:pt>
                <c:pt idx="4">
                  <c:v>Toe Rings</c:v>
                </c:pt>
              </c:strCache>
            </c:strRef>
          </c:cat>
          <c:val>
            <c:numRef>
              <c:f>Pivot_category!$B$4:$B$9</c:f>
              <c:numCache>
                <c:formatCode>0</c:formatCode>
                <c:ptCount val="5"/>
                <c:pt idx="0">
                  <c:v>1080</c:v>
                </c:pt>
                <c:pt idx="1">
                  <c:v>1500</c:v>
                </c:pt>
                <c:pt idx="2">
                  <c:v>3290</c:v>
                </c:pt>
                <c:pt idx="3">
                  <c:v>2920</c:v>
                </c:pt>
                <c:pt idx="4">
                  <c:v>720</c:v>
                </c:pt>
              </c:numCache>
            </c:numRef>
          </c:val>
          <c:extLst>
            <c:ext xmlns:c16="http://schemas.microsoft.com/office/drawing/2014/chart" uri="{C3380CC4-5D6E-409C-BE32-E72D297353CC}">
              <c16:uniqueId val="{00000000-4F03-4FFB-80FB-D46DA91542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[D2C Brand dashboard excel- Sanskriti.xlsx]Pivot_city!PivotTable24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Pivot_city!$B$3</c:f>
              <c:strCache>
                <c:ptCount val="1"/>
                <c:pt idx="0">
                  <c:v>Total</c:v>
                </c:pt>
              </c:strCache>
            </c:strRef>
          </c:tx>
          <c:spPr>
            <a:solidFill>
              <a:schemeClr val="accent1"/>
            </a:solidFill>
            <a:ln>
              <a:noFill/>
            </a:ln>
            <a:effectLst/>
          </c:spPr>
          <c:invertIfNegative val="0"/>
          <c:cat>
            <c:strRef>
              <c:f>Pivot_city!$A$4:$A$10</c:f>
              <c:strCache>
                <c:ptCount val="6"/>
                <c:pt idx="0">
                  <c:v>Bangalore</c:v>
                </c:pt>
                <c:pt idx="1">
                  <c:v>Delhi</c:v>
                </c:pt>
                <c:pt idx="2">
                  <c:v>Hyderabad</c:v>
                </c:pt>
                <c:pt idx="3">
                  <c:v>Jaipur</c:v>
                </c:pt>
                <c:pt idx="4">
                  <c:v>Kolkata</c:v>
                </c:pt>
                <c:pt idx="5">
                  <c:v>Mumbai</c:v>
                </c:pt>
              </c:strCache>
            </c:strRef>
          </c:cat>
          <c:val>
            <c:numRef>
              <c:f>Pivot_city!$B$4:$B$10</c:f>
              <c:numCache>
                <c:formatCode>0</c:formatCode>
                <c:ptCount val="6"/>
                <c:pt idx="0">
                  <c:v>2050</c:v>
                </c:pt>
                <c:pt idx="1">
                  <c:v>4060</c:v>
                </c:pt>
                <c:pt idx="2">
                  <c:v>580</c:v>
                </c:pt>
                <c:pt idx="3">
                  <c:v>1490</c:v>
                </c:pt>
                <c:pt idx="4">
                  <c:v>450</c:v>
                </c:pt>
                <c:pt idx="5">
                  <c:v>880</c:v>
                </c:pt>
              </c:numCache>
            </c:numRef>
          </c:val>
          <c:extLst>
            <c:ext xmlns:c16="http://schemas.microsoft.com/office/drawing/2014/chart" uri="{C3380CC4-5D6E-409C-BE32-E72D297353CC}">
              <c16:uniqueId val="{00000000-0924-42C2-A427-AE876E7361EB}"/>
            </c:ext>
          </c:extLst>
        </c:ser>
        <c:dLbls>
          <c:showLegendKey val="0"/>
          <c:showVal val="0"/>
          <c:showCatName val="0"/>
          <c:showSerName val="0"/>
          <c:showPercent val="0"/>
          <c:showBubbleSize val="0"/>
        </c:dLbls>
        <c:gapWidth val="182"/>
        <c:axId val="690435576"/>
        <c:axId val="690434136"/>
      </c:barChart>
      <c:catAx>
        <c:axId val="690435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34136"/>
        <c:crosses val="autoZero"/>
        <c:auto val="1"/>
        <c:lblAlgn val="ctr"/>
        <c:lblOffset val="100"/>
        <c:noMultiLvlLbl val="0"/>
      </c:catAx>
      <c:valAx>
        <c:axId val="6904341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35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 Brand dashboard excel- Sanskriti.xlsx]Pivot_month!PivotTable9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Pivot_month!$B$3</c:f>
              <c:strCache>
                <c:ptCount val="1"/>
                <c:pt idx="0">
                  <c:v>Total</c:v>
                </c:pt>
              </c:strCache>
            </c:strRef>
          </c:tx>
          <c:spPr>
            <a:ln w="28575" cap="rnd">
              <a:solidFill>
                <a:schemeClr val="accent1"/>
              </a:solidFill>
              <a:round/>
            </a:ln>
            <a:effectLst/>
          </c:spPr>
          <c:marker>
            <c:symbol val="none"/>
          </c:marker>
          <c:cat>
            <c:strRef>
              <c:f>Pivot_month!$A$4:$A$9</c:f>
              <c:strCache>
                <c:ptCount val="5"/>
                <c:pt idx="0">
                  <c:v>Apr-24</c:v>
                </c:pt>
                <c:pt idx="1">
                  <c:v>May-24</c:v>
                </c:pt>
                <c:pt idx="2">
                  <c:v>Jun-24</c:v>
                </c:pt>
                <c:pt idx="3">
                  <c:v>Jul-24</c:v>
                </c:pt>
                <c:pt idx="4">
                  <c:v>Aug-24</c:v>
                </c:pt>
              </c:strCache>
            </c:strRef>
          </c:cat>
          <c:val>
            <c:numRef>
              <c:f>Pivot_month!$B$4:$B$9</c:f>
              <c:numCache>
                <c:formatCode>0</c:formatCode>
                <c:ptCount val="5"/>
                <c:pt idx="0">
                  <c:v>1620</c:v>
                </c:pt>
                <c:pt idx="1">
                  <c:v>2030</c:v>
                </c:pt>
                <c:pt idx="2">
                  <c:v>1670</c:v>
                </c:pt>
                <c:pt idx="3">
                  <c:v>1980</c:v>
                </c:pt>
                <c:pt idx="4">
                  <c:v>2210</c:v>
                </c:pt>
              </c:numCache>
            </c:numRef>
          </c:val>
          <c:smooth val="0"/>
          <c:extLst>
            <c:ext xmlns:c16="http://schemas.microsoft.com/office/drawing/2014/chart" uri="{C3380CC4-5D6E-409C-BE32-E72D297353CC}">
              <c16:uniqueId val="{00000000-2A52-4F92-A7D0-872C432EB405}"/>
            </c:ext>
          </c:extLst>
        </c:ser>
        <c:dLbls>
          <c:showLegendKey val="0"/>
          <c:showVal val="0"/>
          <c:showCatName val="0"/>
          <c:showSerName val="0"/>
          <c:showPercent val="0"/>
          <c:showBubbleSize val="0"/>
        </c:dLbls>
        <c:smooth val="0"/>
        <c:axId val="686773680"/>
        <c:axId val="686774040"/>
      </c:lineChart>
      <c:catAx>
        <c:axId val="68677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74040"/>
        <c:crosses val="autoZero"/>
        <c:auto val="1"/>
        <c:lblAlgn val="ctr"/>
        <c:lblOffset val="100"/>
        <c:noMultiLvlLbl val="0"/>
      </c:catAx>
      <c:valAx>
        <c:axId val="686774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7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[D2C Brand dashboard excel- Sanskriti.xlsx]Pivot_city!PivotTable24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Pivot_city!$B$3</c:f>
              <c:strCache>
                <c:ptCount val="1"/>
                <c:pt idx="0">
                  <c:v>Total</c:v>
                </c:pt>
              </c:strCache>
            </c:strRef>
          </c:tx>
          <c:spPr>
            <a:solidFill>
              <a:schemeClr val="accent1"/>
            </a:solidFill>
            <a:ln>
              <a:noFill/>
            </a:ln>
            <a:effectLst/>
          </c:spPr>
          <c:invertIfNegative val="0"/>
          <c:cat>
            <c:strRef>
              <c:f>Pivot_city!$A$4:$A$10</c:f>
              <c:strCache>
                <c:ptCount val="6"/>
                <c:pt idx="0">
                  <c:v>Bangalore</c:v>
                </c:pt>
                <c:pt idx="1">
                  <c:v>Delhi</c:v>
                </c:pt>
                <c:pt idx="2">
                  <c:v>Hyderabad</c:v>
                </c:pt>
                <c:pt idx="3">
                  <c:v>Jaipur</c:v>
                </c:pt>
                <c:pt idx="4">
                  <c:v>Kolkata</c:v>
                </c:pt>
                <c:pt idx="5">
                  <c:v>Mumbai</c:v>
                </c:pt>
              </c:strCache>
            </c:strRef>
          </c:cat>
          <c:val>
            <c:numRef>
              <c:f>Pivot_city!$B$4:$B$10</c:f>
              <c:numCache>
                <c:formatCode>0</c:formatCode>
                <c:ptCount val="6"/>
                <c:pt idx="0">
                  <c:v>2050</c:v>
                </c:pt>
                <c:pt idx="1">
                  <c:v>4060</c:v>
                </c:pt>
                <c:pt idx="2">
                  <c:v>580</c:v>
                </c:pt>
                <c:pt idx="3">
                  <c:v>1490</c:v>
                </c:pt>
                <c:pt idx="4">
                  <c:v>450</c:v>
                </c:pt>
                <c:pt idx="5">
                  <c:v>880</c:v>
                </c:pt>
              </c:numCache>
            </c:numRef>
          </c:val>
          <c:extLst>
            <c:ext xmlns:c16="http://schemas.microsoft.com/office/drawing/2014/chart" uri="{C3380CC4-5D6E-409C-BE32-E72D297353CC}">
              <c16:uniqueId val="{00000000-9DE6-423D-AA28-AA95C90E2E15}"/>
            </c:ext>
          </c:extLst>
        </c:ser>
        <c:dLbls>
          <c:showLegendKey val="0"/>
          <c:showVal val="0"/>
          <c:showCatName val="0"/>
          <c:showSerName val="0"/>
          <c:showPercent val="0"/>
          <c:showBubbleSize val="0"/>
        </c:dLbls>
        <c:gapWidth val="182"/>
        <c:axId val="690435576"/>
        <c:axId val="690434136"/>
      </c:barChart>
      <c:catAx>
        <c:axId val="690435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34136"/>
        <c:crosses val="autoZero"/>
        <c:auto val="1"/>
        <c:lblAlgn val="ctr"/>
        <c:lblOffset val="100"/>
        <c:noMultiLvlLbl val="0"/>
      </c:catAx>
      <c:valAx>
        <c:axId val="6904341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35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[D2C Brand dashboard excel- Sanskriti.xlsx]Pivot_category!PivotTable25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layout>
        <c:manualLayout>
          <c:xMode val="edge"/>
          <c:yMode val="edge"/>
          <c:x val="0.26143916771023984"/>
          <c:y val="0.116697468762753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dLbl>
          <c:idx val="0"/>
          <c:layout>
            <c:manualLayout>
              <c:x val="3.9637111322231612E-2"/>
              <c:y val="-5.4032398166302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76000"/>
            </a:schemeClr>
          </a:solidFill>
          <a:ln w="19050">
            <a:solidFill>
              <a:schemeClr val="lt1"/>
            </a:solidFill>
          </a:ln>
          <a:effectLst/>
        </c:spPr>
        <c:dLbl>
          <c:idx val="0"/>
          <c:layout>
            <c:manualLayout>
              <c:x val="6.6061852203719351E-2"/>
              <c:y val="-2.25134992359591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4559170820760768E-2"/>
              <c:y val="1.801079938876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77000"/>
            </a:schemeClr>
          </a:solidFill>
          <a:ln w="19050">
            <a:solidFill>
              <a:schemeClr val="lt1"/>
            </a:solidFill>
          </a:ln>
          <a:effectLst/>
        </c:spPr>
        <c:dLbl>
          <c:idx val="0"/>
          <c:layout>
            <c:manualLayout>
              <c:x val="-7.663174855631448E-2"/>
              <c:y val="4.50269984719183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tint val="54000"/>
            </a:schemeClr>
          </a:solidFill>
          <a:ln w="19050">
            <a:solidFill>
              <a:schemeClr val="lt1"/>
            </a:solidFill>
          </a:ln>
          <a:effectLst/>
        </c:spPr>
        <c:dLbl>
          <c:idx val="0"/>
          <c:layout>
            <c:manualLayout>
              <c:x val="-2.6424740881487743E-2"/>
              <c:y val="-6.30377978606857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Pivot_category!$B$3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501C-4DA8-AF13-62A36F185561}"/>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501C-4DA8-AF13-62A36F185561}"/>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501C-4DA8-AF13-62A36F185561}"/>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501C-4DA8-AF13-62A36F185561}"/>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501C-4DA8-AF13-62A36F185561}"/>
              </c:ext>
            </c:extLst>
          </c:dPt>
          <c:dLbls>
            <c:dLbl>
              <c:idx val="0"/>
              <c:layout>
                <c:manualLayout>
                  <c:x val="3.9637111322231612E-2"/>
                  <c:y val="-5.40323981663020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01C-4DA8-AF13-62A36F185561}"/>
                </c:ext>
              </c:extLst>
            </c:dLbl>
            <c:dLbl>
              <c:idx val="1"/>
              <c:layout>
                <c:manualLayout>
                  <c:x val="6.6061852203719351E-2"/>
                  <c:y val="-2.25134992359591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01C-4DA8-AF13-62A36F185561}"/>
                </c:ext>
              </c:extLst>
            </c:dLbl>
            <c:dLbl>
              <c:idx val="2"/>
              <c:layout>
                <c:manualLayout>
                  <c:x val="8.4559170820760768E-2"/>
                  <c:y val="1.8010799388767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01C-4DA8-AF13-62A36F185561}"/>
                </c:ext>
              </c:extLst>
            </c:dLbl>
            <c:dLbl>
              <c:idx val="3"/>
              <c:layout>
                <c:manualLayout>
                  <c:x val="-7.663174855631448E-2"/>
                  <c:y val="4.502699847191839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01C-4DA8-AF13-62A36F185561}"/>
                </c:ext>
              </c:extLst>
            </c:dLbl>
            <c:dLbl>
              <c:idx val="4"/>
              <c:layout>
                <c:manualLayout>
                  <c:x val="-2.6424740881487743E-2"/>
                  <c:y val="-6.30377978606857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01C-4DA8-AF13-62A36F1855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Pivot_category!$A$4:$A$9</c:f>
              <c:strCache>
                <c:ptCount val="5"/>
                <c:pt idx="0">
                  <c:v>Anklets</c:v>
                </c:pt>
                <c:pt idx="1">
                  <c:v>Bangles</c:v>
                </c:pt>
                <c:pt idx="2">
                  <c:v>Earrings</c:v>
                </c:pt>
                <c:pt idx="3">
                  <c:v>Necklace</c:v>
                </c:pt>
                <c:pt idx="4">
                  <c:v>Toe Rings</c:v>
                </c:pt>
              </c:strCache>
            </c:strRef>
          </c:cat>
          <c:val>
            <c:numRef>
              <c:f>Pivot_category!$B$4:$B$9</c:f>
              <c:numCache>
                <c:formatCode>0</c:formatCode>
                <c:ptCount val="5"/>
                <c:pt idx="0">
                  <c:v>1080</c:v>
                </c:pt>
                <c:pt idx="1">
                  <c:v>1500</c:v>
                </c:pt>
                <c:pt idx="2">
                  <c:v>3290</c:v>
                </c:pt>
                <c:pt idx="3">
                  <c:v>2920</c:v>
                </c:pt>
                <c:pt idx="4">
                  <c:v>720</c:v>
                </c:pt>
              </c:numCache>
            </c:numRef>
          </c:val>
          <c:extLst>
            <c:ext xmlns:c16="http://schemas.microsoft.com/office/drawing/2014/chart" uri="{C3380CC4-5D6E-409C-BE32-E72D297353CC}">
              <c16:uniqueId val="{0000000A-501C-4DA8-AF13-62A36F1855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[D2C Brand dashboard excel- Sanskriti.xlsx]Pivot_product!PivotTable26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Sum of Revenue</c:v>
                </c:pt>
              </c:strCache>
            </c:strRef>
          </c:tx>
          <c:spPr>
            <a:solidFill>
              <a:schemeClr val="accent1">
                <a:shade val="76000"/>
              </a:schemeClr>
            </a:solidFill>
            <a:ln>
              <a:noFill/>
            </a:ln>
            <a:effectLst/>
          </c:spPr>
          <c:invertIfNegative val="0"/>
          <c:cat>
            <c:strRef>
              <c:f>Pivot_product!$A$4:$A$12</c:f>
              <c:strCache>
                <c:ptCount val="8"/>
                <c:pt idx="0">
                  <c:v>Ghungroo Anklet</c:v>
                </c:pt>
                <c:pt idx="1">
                  <c:v>Kundan Choker</c:v>
                </c:pt>
                <c:pt idx="2">
                  <c:v>Lotus Stud Earrings</c:v>
                </c:pt>
                <c:pt idx="3">
                  <c:v>Mirror Work Earrings</c:v>
                </c:pt>
                <c:pt idx="4">
                  <c:v>Oxidised Bangle Set</c:v>
                </c:pt>
                <c:pt idx="5">
                  <c:v>Pearl Drop Earrings</c:v>
                </c:pt>
                <c:pt idx="6">
                  <c:v>Silver Toe Ring Set</c:v>
                </c:pt>
                <c:pt idx="7">
                  <c:v>Terracotta Necklace</c:v>
                </c:pt>
              </c:strCache>
            </c:strRef>
          </c:cat>
          <c:val>
            <c:numRef>
              <c:f>Pivot_product!$B$4:$B$12</c:f>
              <c:numCache>
                <c:formatCode>0</c:formatCode>
                <c:ptCount val="8"/>
                <c:pt idx="0">
                  <c:v>1080</c:v>
                </c:pt>
                <c:pt idx="1">
                  <c:v>1800</c:v>
                </c:pt>
                <c:pt idx="2">
                  <c:v>1540</c:v>
                </c:pt>
                <c:pt idx="3">
                  <c:v>1000</c:v>
                </c:pt>
                <c:pt idx="4">
                  <c:v>1500</c:v>
                </c:pt>
                <c:pt idx="5">
                  <c:v>750</c:v>
                </c:pt>
                <c:pt idx="6">
                  <c:v>720</c:v>
                </c:pt>
                <c:pt idx="7">
                  <c:v>1120</c:v>
                </c:pt>
              </c:numCache>
            </c:numRef>
          </c:val>
          <c:extLst>
            <c:ext xmlns:c16="http://schemas.microsoft.com/office/drawing/2014/chart" uri="{C3380CC4-5D6E-409C-BE32-E72D297353CC}">
              <c16:uniqueId val="{00000000-B0E7-44CF-86DA-B8153E7BEEDF}"/>
            </c:ext>
          </c:extLst>
        </c:ser>
        <c:ser>
          <c:idx val="1"/>
          <c:order val="1"/>
          <c:tx>
            <c:strRef>
              <c:f>Pivot_product!$C$3</c:f>
              <c:strCache>
                <c:ptCount val="1"/>
                <c:pt idx="0">
                  <c:v>Sum of Gross_Profit</c:v>
                </c:pt>
              </c:strCache>
            </c:strRef>
          </c:tx>
          <c:spPr>
            <a:solidFill>
              <a:schemeClr val="accent1">
                <a:tint val="77000"/>
              </a:schemeClr>
            </a:solidFill>
            <a:ln>
              <a:noFill/>
            </a:ln>
            <a:effectLst/>
          </c:spPr>
          <c:invertIfNegative val="0"/>
          <c:cat>
            <c:strRef>
              <c:f>Pivot_product!$A$4:$A$12</c:f>
              <c:strCache>
                <c:ptCount val="8"/>
                <c:pt idx="0">
                  <c:v>Ghungroo Anklet</c:v>
                </c:pt>
                <c:pt idx="1">
                  <c:v>Kundan Choker</c:v>
                </c:pt>
                <c:pt idx="2">
                  <c:v>Lotus Stud Earrings</c:v>
                </c:pt>
                <c:pt idx="3">
                  <c:v>Mirror Work Earrings</c:v>
                </c:pt>
                <c:pt idx="4">
                  <c:v>Oxidised Bangle Set</c:v>
                </c:pt>
                <c:pt idx="5">
                  <c:v>Pearl Drop Earrings</c:v>
                </c:pt>
                <c:pt idx="6">
                  <c:v>Silver Toe Ring Set</c:v>
                </c:pt>
                <c:pt idx="7">
                  <c:v>Terracotta Necklace</c:v>
                </c:pt>
              </c:strCache>
            </c:strRef>
          </c:cat>
          <c:val>
            <c:numRef>
              <c:f>Pivot_product!$C$4:$C$12</c:f>
              <c:numCache>
                <c:formatCode>0</c:formatCode>
                <c:ptCount val="8"/>
                <c:pt idx="0">
                  <c:v>720</c:v>
                </c:pt>
                <c:pt idx="1">
                  <c:v>1080</c:v>
                </c:pt>
                <c:pt idx="2">
                  <c:v>980</c:v>
                </c:pt>
                <c:pt idx="3">
                  <c:v>650</c:v>
                </c:pt>
                <c:pt idx="4">
                  <c:v>900</c:v>
                </c:pt>
                <c:pt idx="5">
                  <c:v>480</c:v>
                </c:pt>
                <c:pt idx="6">
                  <c:v>480</c:v>
                </c:pt>
                <c:pt idx="7">
                  <c:v>720</c:v>
                </c:pt>
              </c:numCache>
            </c:numRef>
          </c:val>
          <c:extLst>
            <c:ext xmlns:c16="http://schemas.microsoft.com/office/drawing/2014/chart" uri="{C3380CC4-5D6E-409C-BE32-E72D297353CC}">
              <c16:uniqueId val="{00000001-B0E7-44CF-86DA-B8153E7BEEDF}"/>
            </c:ext>
          </c:extLst>
        </c:ser>
        <c:dLbls>
          <c:showLegendKey val="0"/>
          <c:showVal val="0"/>
          <c:showCatName val="0"/>
          <c:showSerName val="0"/>
          <c:showPercent val="0"/>
          <c:showBubbleSize val="0"/>
        </c:dLbls>
        <c:gapWidth val="219"/>
        <c:overlap val="-27"/>
        <c:axId val="741364640"/>
        <c:axId val="741362480"/>
      </c:barChart>
      <c:catAx>
        <c:axId val="74136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62480"/>
        <c:crosses val="autoZero"/>
        <c:auto val="1"/>
        <c:lblAlgn val="ctr"/>
        <c:lblOffset val="100"/>
        <c:noMultiLvlLbl val="0"/>
      </c:catAx>
      <c:valAx>
        <c:axId val="74136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6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31750</xdr:rowOff>
    </xdr:from>
    <xdr:to>
      <xdr:col>6</xdr:col>
      <xdr:colOff>266700</xdr:colOff>
      <xdr:row>24</xdr:row>
      <xdr:rowOff>12700</xdr:rowOff>
    </xdr:to>
    <xdr:graphicFrame macro="">
      <xdr:nvGraphicFramePr>
        <xdr:cNvPr id="2" name="Chart 1">
          <a:extLst>
            <a:ext uri="{FF2B5EF4-FFF2-40B4-BE49-F238E27FC236}">
              <a16:creationId xmlns:a16="http://schemas.microsoft.com/office/drawing/2014/main" id="{BFC4AC16-94F1-FB6E-1307-66BE38541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539750</xdr:colOff>
      <xdr:row>9</xdr:row>
      <xdr:rowOff>127000</xdr:rowOff>
    </xdr:from>
    <xdr:to>
      <xdr:col>9</xdr:col>
      <xdr:colOff>539750</xdr:colOff>
      <xdr:row>23</xdr:row>
      <xdr:rowOff>73025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44EE5A03-6EA8-16B3-EC36-FE964D2B6AA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845050" y="1784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158750</xdr:rowOff>
    </xdr:from>
    <xdr:to>
      <xdr:col>4</xdr:col>
      <xdr:colOff>419100</xdr:colOff>
      <xdr:row>27</xdr:row>
      <xdr:rowOff>139700</xdr:rowOff>
    </xdr:to>
    <xdr:graphicFrame macro="">
      <xdr:nvGraphicFramePr>
        <xdr:cNvPr id="2" name="Chart 1">
          <a:extLst>
            <a:ext uri="{FF2B5EF4-FFF2-40B4-BE49-F238E27FC236}">
              <a16:creationId xmlns:a16="http://schemas.microsoft.com/office/drawing/2014/main" id="{FAFA2E84-0928-632F-F3E5-02F47EDC1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177800</xdr:rowOff>
    </xdr:from>
    <xdr:to>
      <xdr:col>6</xdr:col>
      <xdr:colOff>266700</xdr:colOff>
      <xdr:row>24</xdr:row>
      <xdr:rowOff>158750</xdr:rowOff>
    </xdr:to>
    <xdr:graphicFrame macro="">
      <xdr:nvGraphicFramePr>
        <xdr:cNvPr id="2" name="Chart 1">
          <a:extLst>
            <a:ext uri="{FF2B5EF4-FFF2-40B4-BE49-F238E27FC236}">
              <a16:creationId xmlns:a16="http://schemas.microsoft.com/office/drawing/2014/main" id="{D1C161CA-2A1C-6545-F83D-F3AB8A17C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177800</xdr:rowOff>
    </xdr:from>
    <xdr:to>
      <xdr:col>6</xdr:col>
      <xdr:colOff>266700</xdr:colOff>
      <xdr:row>25</xdr:row>
      <xdr:rowOff>158750</xdr:rowOff>
    </xdr:to>
    <xdr:graphicFrame macro="">
      <xdr:nvGraphicFramePr>
        <xdr:cNvPr id="2" name="Chart 1">
          <a:extLst>
            <a:ext uri="{FF2B5EF4-FFF2-40B4-BE49-F238E27FC236}">
              <a16:creationId xmlns:a16="http://schemas.microsoft.com/office/drawing/2014/main" id="{0514F7A4-816D-D6F7-7095-B9CD3C758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14</xdr:row>
      <xdr:rowOff>173182</xdr:rowOff>
    </xdr:from>
    <xdr:to>
      <xdr:col>6</xdr:col>
      <xdr:colOff>23091</xdr:colOff>
      <xdr:row>29</xdr:row>
      <xdr:rowOff>161636</xdr:rowOff>
    </xdr:to>
    <xdr:graphicFrame macro="">
      <xdr:nvGraphicFramePr>
        <xdr:cNvPr id="11" name="Chart 10">
          <a:extLst>
            <a:ext uri="{FF2B5EF4-FFF2-40B4-BE49-F238E27FC236}">
              <a16:creationId xmlns:a16="http://schemas.microsoft.com/office/drawing/2014/main" id="{7D642779-FFF0-4B64-A81C-3459EFF9A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46182</xdr:colOff>
      <xdr:row>14</xdr:row>
      <xdr:rowOff>161636</xdr:rowOff>
    </xdr:from>
    <xdr:to>
      <xdr:col>13</xdr:col>
      <xdr:colOff>600363</xdr:colOff>
      <xdr:row>29</xdr:row>
      <xdr:rowOff>161636</xdr:rowOff>
    </xdr:to>
    <xdr:graphicFrame macro="">
      <xdr:nvGraphicFramePr>
        <xdr:cNvPr id="12" name="Chart 11">
          <a:extLst>
            <a:ext uri="{FF2B5EF4-FFF2-40B4-BE49-F238E27FC236}">
              <a16:creationId xmlns:a16="http://schemas.microsoft.com/office/drawing/2014/main" id="{3135AC4B-9404-4017-ABD3-408A82556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57727</xdr:colOff>
      <xdr:row>1</xdr:row>
      <xdr:rowOff>265545</xdr:rowOff>
    </xdr:from>
    <xdr:to>
      <xdr:col>14</xdr:col>
      <xdr:colOff>0</xdr:colOff>
      <xdr:row>15</xdr:row>
      <xdr:rowOff>46181</xdr:rowOff>
    </xdr:to>
    <xdr:graphicFrame macro="">
      <xdr:nvGraphicFramePr>
        <xdr:cNvPr id="13" name="Chart 12">
          <a:extLst>
            <a:ext uri="{FF2B5EF4-FFF2-40B4-BE49-F238E27FC236}">
              <a16:creationId xmlns:a16="http://schemas.microsoft.com/office/drawing/2014/main" id="{568C9900-20FE-4CC9-83F9-8DA978C71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30</xdr:row>
      <xdr:rowOff>0</xdr:rowOff>
    </xdr:from>
    <xdr:to>
      <xdr:col>14</xdr:col>
      <xdr:colOff>0</xdr:colOff>
      <xdr:row>49</xdr:row>
      <xdr:rowOff>98778</xdr:rowOff>
    </xdr:to>
    <xdr:graphicFrame macro="">
      <xdr:nvGraphicFramePr>
        <xdr:cNvPr id="14" name="Chart 13">
          <a:extLst>
            <a:ext uri="{FF2B5EF4-FFF2-40B4-BE49-F238E27FC236}">
              <a16:creationId xmlns:a16="http://schemas.microsoft.com/office/drawing/2014/main" id="{64EB22B2-F81A-4DB2-8ABB-D87CC010F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56443</xdr:colOff>
      <xdr:row>5</xdr:row>
      <xdr:rowOff>70557</xdr:rowOff>
    </xdr:from>
    <xdr:to>
      <xdr:col>6</xdr:col>
      <xdr:colOff>28222</xdr:colOff>
      <xdr:row>14</xdr:row>
      <xdr:rowOff>141112</xdr:rowOff>
    </xdr:to>
    <mc:AlternateContent xmlns:mc="http://schemas.openxmlformats.org/markup-compatibility/2006">
      <mc:Choice xmlns:a14="http://schemas.microsoft.com/office/drawing/2010/main" Requires="a14">
        <xdr:graphicFrame macro="">
          <xdr:nvGraphicFramePr>
            <xdr:cNvPr id="15" name="City 1">
              <a:extLst>
                <a:ext uri="{FF2B5EF4-FFF2-40B4-BE49-F238E27FC236}">
                  <a16:creationId xmlns:a16="http://schemas.microsoft.com/office/drawing/2014/main" id="{687E1072-EC6F-49B0-B20B-C6C9792F9F0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452597" y="1120749"/>
              <a:ext cx="1803510" cy="2097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8.795522106484" createdVersion="8" refreshedVersion="8" minRefreshableVersion="3" recordCount="25" xr:uid="{32AE8F16-CB94-422F-9730-4221C8EDC5B7}">
  <cacheSource type="worksheet">
    <worksheetSource ref="A1:M26" sheet="Orders"/>
  </cacheSource>
  <cacheFields count="13">
    <cacheField name="Order_ID" numFmtId="0">
      <sharedItems/>
    </cacheField>
    <cacheField name="Order_Date" numFmtId="14">
      <sharedItems containsSemiMixedTypes="0" containsNonDate="0" containsDate="1" containsString="0" minDate="2024-04-01T00:00:00" maxDate="2024-08-30T00:00:00"/>
    </cacheField>
    <cacheField name="Customer_ID" numFmtId="0">
      <sharedItems/>
    </cacheField>
    <cacheField name="Product_ID" numFmtId="0">
      <sharedItems/>
    </cacheField>
    <cacheField name="Quantity" numFmtId="0">
      <sharedItems containsSemiMixedTypes="0" containsString="0" containsNumber="1" containsInteger="1" minValue="1" maxValue="4"/>
    </cacheField>
    <cacheField name="Order_Month" numFmtId="17">
      <sharedItems containsSemiMixedTypes="0" containsNonDate="0" containsDate="1" containsString="0" minDate="2024-04-01T00:00:00" maxDate="2024-08-02T00:00:00" count="5">
        <d v="2024-04-01T00:00:00"/>
        <d v="2024-05-01T00:00:00"/>
        <d v="2024-06-01T00:00:00"/>
        <d v="2024-07-01T00:00:00"/>
        <d v="2024-08-01T00:00:00"/>
      </sharedItems>
    </cacheField>
    <cacheField name="Product_Name" numFmtId="0">
      <sharedItems count="8">
        <s v="Kundan Choker"/>
        <s v="Lotus Stud Earrings"/>
        <s v="Ghungroo Anklet"/>
        <s v="Pearl Drop Earrings"/>
        <s v="Oxidised Bangle Set"/>
        <s v="Mirror Work Earrings"/>
        <s v="Terracotta Necklace"/>
        <s v="Silver Toe Ring Set"/>
      </sharedItems>
    </cacheField>
    <cacheField name="Selling_Price" numFmtId="1">
      <sharedItems containsSemiMixedTypes="0" containsString="0" containsNumber="1" containsInteger="1" minValue="120" maxValue="450"/>
    </cacheField>
    <cacheField name="COGS" numFmtId="1">
      <sharedItems containsSemiMixedTypes="0" containsString="0" containsNumber="1" containsInteger="1" minValue="40" maxValue="180"/>
    </cacheField>
    <cacheField name="Revenue" numFmtId="1">
      <sharedItems containsSemiMixedTypes="0" containsString="0" containsNumber="1" containsInteger="1" minValue="180" maxValue="660"/>
    </cacheField>
    <cacheField name="Gross_Profit" numFmtId="1">
      <sharedItems containsSemiMixedTypes="0" containsString="0" containsNumber="1" containsInteger="1" minValue="120" maxValue="420"/>
    </cacheField>
    <cacheField name="City" numFmtId="0">
      <sharedItems count="6">
        <s v="Delhi"/>
        <s v="Bangalore"/>
        <s v="Mumbai"/>
        <s v="Kolkata"/>
        <s v="Jaipur"/>
        <s v="Hyderabad"/>
      </sharedItems>
    </cacheField>
    <cacheField name="Category" numFmtId="0">
      <sharedItems count="5">
        <s v="Necklace"/>
        <s v="Earrings"/>
        <s v="Anklets"/>
        <s v="Bangles"/>
        <s v="Toe Rings"/>
      </sharedItems>
    </cacheField>
  </cacheFields>
  <extLst>
    <ext xmlns:x14="http://schemas.microsoft.com/office/spreadsheetml/2009/9/main" uri="{725AE2AE-9491-48be-B2B4-4EB974FC3084}">
      <x14:pivotCacheDefinition pivotCacheId="1486129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ORD001"/>
    <d v="2024-04-01T00:00:00"/>
    <s v="C001"/>
    <s v="P002"/>
    <n v="1"/>
    <x v="0"/>
    <x v="0"/>
    <n v="450"/>
    <n v="180"/>
    <n v="450"/>
    <n v="270"/>
    <x v="0"/>
    <x v="0"/>
  </r>
  <r>
    <s v="ORD002"/>
    <d v="2024-04-05T00:00:00"/>
    <s v="C003"/>
    <s v="P001"/>
    <n v="2"/>
    <x v="0"/>
    <x v="1"/>
    <n v="220"/>
    <n v="80"/>
    <n v="440"/>
    <n v="280"/>
    <x v="1"/>
    <x v="1"/>
  </r>
  <r>
    <s v="ORD003"/>
    <d v="2024-04-10T00:00:00"/>
    <s v="C005"/>
    <s v="P006"/>
    <n v="1"/>
    <x v="0"/>
    <x v="2"/>
    <n v="180"/>
    <n v="60"/>
    <n v="180"/>
    <n v="120"/>
    <x v="2"/>
    <x v="2"/>
  </r>
  <r>
    <s v="ORD004"/>
    <d v="2024-04-18T00:00:00"/>
    <s v="C002"/>
    <s v="P004"/>
    <n v="1"/>
    <x v="0"/>
    <x v="3"/>
    <n v="250"/>
    <n v="90"/>
    <n v="250"/>
    <n v="160"/>
    <x v="3"/>
    <x v="1"/>
  </r>
  <r>
    <s v="ORD005"/>
    <d v="2024-04-25T00:00:00"/>
    <s v="C007"/>
    <s v="P003"/>
    <n v="1"/>
    <x v="0"/>
    <x v="4"/>
    <n v="300"/>
    <n v="120"/>
    <n v="300"/>
    <n v="180"/>
    <x v="0"/>
    <x v="3"/>
  </r>
  <r>
    <s v="ORD006"/>
    <d v="2024-05-02T00:00:00"/>
    <s v="C004"/>
    <s v="P007"/>
    <n v="2"/>
    <x v="1"/>
    <x v="5"/>
    <n v="200"/>
    <n v="70"/>
    <n v="400"/>
    <n v="260"/>
    <x v="4"/>
    <x v="1"/>
  </r>
  <r>
    <s v="ORD007"/>
    <d v="2024-05-08T00:00:00"/>
    <s v="C008"/>
    <s v="P005"/>
    <n v="1"/>
    <x v="1"/>
    <x v="6"/>
    <n v="280"/>
    <n v="100"/>
    <n v="280"/>
    <n v="180"/>
    <x v="5"/>
    <x v="0"/>
  </r>
  <r>
    <s v="ORD008"/>
    <d v="2024-05-15T00:00:00"/>
    <s v="C001"/>
    <s v="P002"/>
    <n v="1"/>
    <x v="1"/>
    <x v="0"/>
    <n v="450"/>
    <n v="180"/>
    <n v="450"/>
    <n v="270"/>
    <x v="0"/>
    <x v="0"/>
  </r>
  <r>
    <s v="ORD009"/>
    <d v="2024-05-22T00:00:00"/>
    <s v="C006"/>
    <s v="P001"/>
    <n v="3"/>
    <x v="1"/>
    <x v="1"/>
    <n v="220"/>
    <n v="80"/>
    <n v="660"/>
    <n v="420"/>
    <x v="1"/>
    <x v="1"/>
  </r>
  <r>
    <s v="ORD010"/>
    <d v="2024-05-28T00:00:00"/>
    <s v="C010"/>
    <s v="P008"/>
    <n v="2"/>
    <x v="1"/>
    <x v="7"/>
    <n v="120"/>
    <n v="40"/>
    <n v="240"/>
    <n v="160"/>
    <x v="0"/>
    <x v="4"/>
  </r>
  <r>
    <s v="ORD011"/>
    <d v="2024-06-03T00:00:00"/>
    <s v="C003"/>
    <s v="P003"/>
    <n v="1"/>
    <x v="2"/>
    <x v="4"/>
    <n v="300"/>
    <n v="120"/>
    <n v="300"/>
    <n v="180"/>
    <x v="1"/>
    <x v="3"/>
  </r>
  <r>
    <s v="ORD012"/>
    <d v="2024-06-09T00:00:00"/>
    <s v="C009"/>
    <s v="P006"/>
    <n v="2"/>
    <x v="2"/>
    <x v="2"/>
    <n v="180"/>
    <n v="60"/>
    <n v="360"/>
    <n v="240"/>
    <x v="4"/>
    <x v="2"/>
  </r>
  <r>
    <s v="ORD013"/>
    <d v="2024-06-14T00:00:00"/>
    <s v="C005"/>
    <s v="P004"/>
    <n v="1"/>
    <x v="2"/>
    <x v="3"/>
    <n v="250"/>
    <n v="90"/>
    <n v="250"/>
    <n v="160"/>
    <x v="2"/>
    <x v="1"/>
  </r>
  <r>
    <s v="ORD014"/>
    <d v="2024-06-20T00:00:00"/>
    <s v="C002"/>
    <s v="P007"/>
    <n v="1"/>
    <x v="2"/>
    <x v="5"/>
    <n v="200"/>
    <n v="70"/>
    <n v="200"/>
    <n v="130"/>
    <x v="3"/>
    <x v="1"/>
  </r>
  <r>
    <s v="ORD015"/>
    <d v="2024-06-27T00:00:00"/>
    <s v="C007"/>
    <s v="P005"/>
    <n v="2"/>
    <x v="2"/>
    <x v="6"/>
    <n v="280"/>
    <n v="100"/>
    <n v="560"/>
    <n v="360"/>
    <x v="0"/>
    <x v="0"/>
  </r>
  <r>
    <s v="ORD016"/>
    <d v="2024-07-04T00:00:00"/>
    <s v="C004"/>
    <s v="P002"/>
    <n v="1"/>
    <x v="3"/>
    <x v="0"/>
    <n v="450"/>
    <n v="180"/>
    <n v="450"/>
    <n v="270"/>
    <x v="4"/>
    <x v="0"/>
  </r>
  <r>
    <s v="ORD017"/>
    <d v="2024-07-11T00:00:00"/>
    <s v="C001"/>
    <s v="P001"/>
    <n v="2"/>
    <x v="3"/>
    <x v="1"/>
    <n v="220"/>
    <n v="80"/>
    <n v="440"/>
    <n v="280"/>
    <x v="0"/>
    <x v="1"/>
  </r>
  <r>
    <s v="ORD018"/>
    <d v="2024-07-19T00:00:00"/>
    <s v="C008"/>
    <s v="P003"/>
    <n v="1"/>
    <x v="3"/>
    <x v="4"/>
    <n v="300"/>
    <n v="120"/>
    <n v="300"/>
    <n v="180"/>
    <x v="5"/>
    <x v="3"/>
  </r>
  <r>
    <s v="ORD019"/>
    <d v="2024-07-25T00:00:00"/>
    <s v="C010"/>
    <s v="P006"/>
    <n v="3"/>
    <x v="3"/>
    <x v="2"/>
    <n v="180"/>
    <n v="60"/>
    <n v="540"/>
    <n v="360"/>
    <x v="0"/>
    <x v="2"/>
  </r>
  <r>
    <s v="ORD020"/>
    <d v="2024-07-30T00:00:00"/>
    <s v="C006"/>
    <s v="P004"/>
    <n v="1"/>
    <x v="3"/>
    <x v="3"/>
    <n v="250"/>
    <n v="90"/>
    <n v="250"/>
    <n v="160"/>
    <x v="1"/>
    <x v="1"/>
  </r>
  <r>
    <s v="ORD021"/>
    <d v="2024-08-05T00:00:00"/>
    <s v="C003"/>
    <s v="P007"/>
    <n v="2"/>
    <x v="4"/>
    <x v="5"/>
    <n v="200"/>
    <n v="70"/>
    <n v="400"/>
    <n v="260"/>
    <x v="1"/>
    <x v="1"/>
  </r>
  <r>
    <s v="ORD022"/>
    <d v="2024-08-12T00:00:00"/>
    <s v="C009"/>
    <s v="P005"/>
    <n v="1"/>
    <x v="4"/>
    <x v="6"/>
    <n v="280"/>
    <n v="100"/>
    <n v="280"/>
    <n v="180"/>
    <x v="4"/>
    <x v="0"/>
  </r>
  <r>
    <s v="ORD023"/>
    <d v="2024-08-18T00:00:00"/>
    <s v="C005"/>
    <s v="P002"/>
    <n v="1"/>
    <x v="4"/>
    <x v="0"/>
    <n v="450"/>
    <n v="180"/>
    <n v="450"/>
    <n v="270"/>
    <x v="2"/>
    <x v="0"/>
  </r>
  <r>
    <s v="ORD024"/>
    <d v="2024-08-24T00:00:00"/>
    <s v="C001"/>
    <s v="P008"/>
    <n v="4"/>
    <x v="4"/>
    <x v="7"/>
    <n v="120"/>
    <n v="40"/>
    <n v="480"/>
    <n v="320"/>
    <x v="0"/>
    <x v="4"/>
  </r>
  <r>
    <s v="ORD025"/>
    <d v="2024-08-29T00:00:00"/>
    <s v="C007"/>
    <s v="P003"/>
    <n v="2"/>
    <x v="4"/>
    <x v="4"/>
    <n v="300"/>
    <n v="120"/>
    <n v="600"/>
    <n v="36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BBDE8-BAC9-41CE-A774-CA57C7F0780A}" name="PivotTable9"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showAll="0"/>
    <pivotField numFmtId="14" showAll="0"/>
    <pivotField showAll="0"/>
    <pivotField showAll="0"/>
    <pivotField showAll="0"/>
    <pivotField axis="axisRow" numFmtId="17" showAll="0">
      <items count="6">
        <item x="0"/>
        <item x="1"/>
        <item x="2"/>
        <item x="3"/>
        <item x="4"/>
        <item t="default"/>
      </items>
    </pivotField>
    <pivotField showAll="0"/>
    <pivotField numFmtId="1" showAll="0"/>
    <pivotField numFmtId="1" showAll="0"/>
    <pivotField dataField="1" numFmtId="1" showAll="0"/>
    <pivotField numFmtId="1" showAll="0"/>
    <pivotField showAll="0">
      <items count="7">
        <item x="1"/>
        <item x="0"/>
        <item x="5"/>
        <item x="4"/>
        <item x="3"/>
        <item x="2"/>
        <item t="default"/>
      </items>
    </pivotField>
    <pivotField showAll="0"/>
  </pivotFields>
  <rowFields count="1">
    <field x="5"/>
  </rowFields>
  <rowItems count="6">
    <i>
      <x/>
    </i>
    <i>
      <x v="1"/>
    </i>
    <i>
      <x v="2"/>
    </i>
    <i>
      <x v="3"/>
    </i>
    <i>
      <x v="4"/>
    </i>
    <i t="grand">
      <x/>
    </i>
  </rowItems>
  <colItems count="1">
    <i/>
  </colItems>
  <dataFields count="1">
    <dataField name="Sum of Revenue" fld="9"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0897B-0C36-41CF-83FD-BF2F876FEC49}" name="PivotTable2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13">
    <pivotField showAll="0"/>
    <pivotField numFmtId="14" showAll="0"/>
    <pivotField showAll="0"/>
    <pivotField showAll="0"/>
    <pivotField showAll="0"/>
    <pivotField numFmtId="17" showAll="0"/>
    <pivotField axis="axisRow" showAll="0">
      <items count="9">
        <item x="2"/>
        <item x="0"/>
        <item x="1"/>
        <item x="5"/>
        <item x="4"/>
        <item x="3"/>
        <item x="7"/>
        <item x="6"/>
        <item t="default"/>
      </items>
    </pivotField>
    <pivotField numFmtId="1" showAll="0"/>
    <pivotField numFmtId="1" showAll="0"/>
    <pivotField dataField="1" numFmtId="1" showAll="0"/>
    <pivotField dataField="1" numFmtId="1" showAll="0"/>
    <pivotField showAll="0">
      <items count="7">
        <item x="1"/>
        <item x="0"/>
        <item x="5"/>
        <item x="4"/>
        <item x="3"/>
        <item x="2"/>
        <item t="default"/>
      </items>
    </pivotField>
    <pivotField showAll="0"/>
  </pivotFields>
  <rowFields count="1">
    <field x="6"/>
  </rowFields>
  <rowItems count="9">
    <i>
      <x/>
    </i>
    <i>
      <x v="1"/>
    </i>
    <i>
      <x v="2"/>
    </i>
    <i>
      <x v="3"/>
    </i>
    <i>
      <x v="4"/>
    </i>
    <i>
      <x v="5"/>
    </i>
    <i>
      <x v="6"/>
    </i>
    <i>
      <x v="7"/>
    </i>
    <i t="grand">
      <x/>
    </i>
  </rowItems>
  <colFields count="1">
    <field x="-2"/>
  </colFields>
  <colItems count="2">
    <i>
      <x/>
    </i>
    <i i="1">
      <x v="1"/>
    </i>
  </colItems>
  <dataFields count="2">
    <dataField name="Sum of Revenue" fld="9" baseField="0" baseItem="0" numFmtId="1"/>
    <dataField name="Sum of Gross_Profit" fld="10"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B0D85F-FAF3-42F0-94C2-F0C4385EDDC3}" name="PivotTable2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showAll="0"/>
    <pivotField numFmtId="14" showAll="0"/>
    <pivotField showAll="0"/>
    <pivotField showAll="0"/>
    <pivotField showAll="0"/>
    <pivotField numFmtId="17" showAll="0"/>
    <pivotField showAll="0"/>
    <pivotField numFmtId="1" showAll="0"/>
    <pivotField numFmtId="1" showAll="0"/>
    <pivotField dataField="1" numFmtId="1" showAll="0"/>
    <pivotField numFmtId="1" showAll="0"/>
    <pivotField showAll="0">
      <items count="7">
        <item x="1"/>
        <item x="0"/>
        <item x="5"/>
        <item x="4"/>
        <item x="3"/>
        <item x="2"/>
        <item t="default"/>
      </items>
    </pivotField>
    <pivotField axis="axisRow" showAll="0">
      <items count="6">
        <item x="2"/>
        <item x="3"/>
        <item x="1"/>
        <item x="0"/>
        <item x="4"/>
        <item t="default"/>
      </items>
    </pivotField>
  </pivotFields>
  <rowFields count="1">
    <field x="12"/>
  </rowFields>
  <rowItems count="6">
    <i>
      <x/>
    </i>
    <i>
      <x v="1"/>
    </i>
    <i>
      <x v="2"/>
    </i>
    <i>
      <x v="3"/>
    </i>
    <i>
      <x v="4"/>
    </i>
    <i t="grand">
      <x/>
    </i>
  </rowItems>
  <colItems count="1">
    <i/>
  </colItems>
  <dataFields count="1">
    <dataField name="Sum of Revenue" fld="9" baseField="0" baseItem="0" numFmtId="1"/>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2" count="1" selected="0">
            <x v="0"/>
          </reference>
        </references>
      </pivotArea>
    </chartFormat>
    <chartFormat chart="5" format="9">
      <pivotArea type="data" outline="0" fieldPosition="0">
        <references count="2">
          <reference field="4294967294" count="1" selected="0">
            <x v="0"/>
          </reference>
          <reference field="12" count="1" selected="0">
            <x v="1"/>
          </reference>
        </references>
      </pivotArea>
    </chartFormat>
    <chartFormat chart="5" format="10">
      <pivotArea type="data" outline="0" fieldPosition="0">
        <references count="2">
          <reference field="4294967294" count="1" selected="0">
            <x v="0"/>
          </reference>
          <reference field="12" count="1" selected="0">
            <x v="2"/>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C639F9-44E4-4DB9-8AED-8B61013BB70C}" name="PivotTable2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3">
    <pivotField showAll="0"/>
    <pivotField numFmtId="14" showAll="0"/>
    <pivotField showAll="0"/>
    <pivotField showAll="0"/>
    <pivotField showAll="0"/>
    <pivotField numFmtId="17" showAll="0"/>
    <pivotField showAll="0"/>
    <pivotField numFmtId="1" showAll="0"/>
    <pivotField numFmtId="1" showAll="0"/>
    <pivotField dataField="1" numFmtId="1" showAll="0"/>
    <pivotField numFmtId="1" showAll="0"/>
    <pivotField axis="axisRow" showAll="0">
      <items count="7">
        <item x="1"/>
        <item x="0"/>
        <item x="5"/>
        <item x="4"/>
        <item x="3"/>
        <item x="2"/>
        <item t="default"/>
      </items>
    </pivotField>
    <pivotField showAll="0"/>
  </pivotFields>
  <rowFields count="1">
    <field x="11"/>
  </rowFields>
  <rowItems count="7">
    <i>
      <x/>
    </i>
    <i>
      <x v="1"/>
    </i>
    <i>
      <x v="2"/>
    </i>
    <i>
      <x v="3"/>
    </i>
    <i>
      <x v="4"/>
    </i>
    <i>
      <x v="5"/>
    </i>
    <i t="grand">
      <x/>
    </i>
  </rowItems>
  <colItems count="1">
    <i/>
  </colItems>
  <dataFields count="1">
    <dataField name="Sum of Revenue" fld="9"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90AB3013-BF16-4DF2-970A-30573F96E3BD}" sourceName="City">
  <pivotTables>
    <pivotTable tabId="15" name="PivotTable9"/>
    <pivotTable tabId="17" name="PivotTable25"/>
    <pivotTable tabId="16" name="PivotTable24"/>
    <pivotTable tabId="18" name="PivotTable26"/>
  </pivotTables>
  <data>
    <tabular pivotCacheId="1486129019">
      <items count="6">
        <i x="1" s="1"/>
        <i x="0" s="1"/>
        <i x="5"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5267859-C8FE-44A9-A80D-1AC64B34F850}" cache="Slicer_City1"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367B507-CFC4-4469-B283-1ABF3CAE5C65}" cache="Slicer_City1"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84152D-F8F8-4D3F-97B7-BE2F435ED1B7}" name="Table4" displayName="Table4" ref="A1:F9" totalsRowShown="0">
  <autoFilter ref="A1:F9" xr:uid="{A984152D-F8F8-4D3F-97B7-BE2F435ED1B7}"/>
  <tableColumns count="6">
    <tableColumn id="1" xr3:uid="{ACC3E444-A2B2-46CC-BE1C-29B1A3D06BCC}" name="Product_ID"/>
    <tableColumn id="2" xr3:uid="{CA89BCC1-CE6A-4C54-ACB5-EC45769F2482}" name="Product_Name"/>
    <tableColumn id="3" xr3:uid="{FF115205-2522-4092-91EE-E00277681A05}" name="Category"/>
    <tableColumn id="4" xr3:uid="{6FBB7D80-31A6-44EA-9277-4736F6CC7658}" name="COGS"/>
    <tableColumn id="5" xr3:uid="{7DEE4F2F-4A05-42EC-B870-9FF2DDC11C4B}" name="Selling Price"/>
    <tableColumn id="6" xr3:uid="{738FD405-B434-4D87-AC65-F982A8FF9EDE}" name="Gross_Margin_%" dataDxfId="11" dataCellStyle="Percent"/>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1F4A39-891D-4521-85EA-291875D4EE67}" name="Table5" displayName="Table5" ref="A1:D12" totalsRowShown="0">
  <autoFilter ref="A1:D12" xr:uid="{A61F4A39-891D-4521-85EA-291875D4EE67}"/>
  <tableColumns count="4">
    <tableColumn id="1" xr3:uid="{E99CAF18-7D89-4042-8C7D-03D635CD1055}" name="Column1"/>
    <tableColumn id="2" xr3:uid="{B9EC37DA-29B7-4507-849F-D7F7B2F7BC61}" name="Column2"/>
    <tableColumn id="3" xr3:uid="{B822B2DA-787E-4630-95C8-95DC3CC3D406}" name="Column3"/>
    <tableColumn id="4" xr3:uid="{7E530E15-8986-474E-9AD9-D493FEBE0B6D}" name="Column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276F2F-754B-489A-A5D5-C6B1D126CA3C}" name="Table6" displayName="Table6" ref="A1:M26" totalsRowShown="0" headerRowDxfId="0">
  <autoFilter ref="A1:M26" xr:uid="{03276F2F-754B-489A-A5D5-C6B1D126CA3C}"/>
  <tableColumns count="13">
    <tableColumn id="1" xr3:uid="{CA4CDD84-8760-49EE-965A-F560D02896C6}" name="Order_ID" dataDxfId="10"/>
    <tableColumn id="2" xr3:uid="{36984DB8-104F-428A-952C-5126C9E3BD72}" name="Order_Date" dataDxfId="9"/>
    <tableColumn id="3" xr3:uid="{B7112866-8B61-4168-932F-423D97683E10}" name="Customer_ID" dataDxfId="8"/>
    <tableColumn id="4" xr3:uid="{262102E2-780B-47B8-A0D8-850CECF8A338}" name="Product_ID" dataDxfId="7"/>
    <tableColumn id="5" xr3:uid="{7E48A94B-73E9-415A-B39D-0DE1273F0ACF}" name="Quantity" dataDxfId="6"/>
    <tableColumn id="6" xr3:uid="{AC891EB6-3613-4FCC-ACAF-92F9BD24D960}" name="Order_Month" dataDxfId="5"/>
    <tableColumn id="7" xr3:uid="{D0718FC5-F731-483B-BF92-B1DF8067CC46}" name="Product_Name">
      <calculatedColumnFormula>INDEX(Products!B:B,MATCH(D2,Products!A:A,0))</calculatedColumnFormula>
    </tableColumn>
    <tableColumn id="8" xr3:uid="{9BB180D2-841C-488D-8BFB-A56AB790BE49}" name="Selling_Price" dataDxfId="4">
      <calculatedColumnFormula>INDEX(Products!E:E,MATCH(D2,Products!A:A,0))</calculatedColumnFormula>
    </tableColumn>
    <tableColumn id="9" xr3:uid="{2C59C672-D6F1-41CA-A812-6C7428A23389}" name="COGS" dataDxfId="3">
      <calculatedColumnFormula>INDEX(Products!D:D,MATCH(D2,Products!A:A,0))</calculatedColumnFormula>
    </tableColumn>
    <tableColumn id="10" xr3:uid="{4ADACB0D-BD58-4233-980A-44292AF84DBC}" name="Revenue" dataDxfId="2">
      <calculatedColumnFormula>H2*E2</calculatedColumnFormula>
    </tableColumn>
    <tableColumn id="11" xr3:uid="{D815F8A3-5521-4363-B06D-1E661A0DCE22}" name="Gross_Profit" dataDxfId="1">
      <calculatedColumnFormula>(H2-I2)*E2</calculatedColumnFormula>
    </tableColumn>
    <tableColumn id="12" xr3:uid="{5B6A8735-E02D-4494-8576-00BF1A676DB6}" name="City">
      <calculatedColumnFormula>INDEX(Custromers!C:C,MATCH(Orders!C2,Custromers!A:A,0))</calculatedColumnFormula>
    </tableColumn>
    <tableColumn id="13" xr3:uid="{8EC3F6EB-363B-4FFB-A87E-8DC2A652AF8B}" name="Category">
      <calculatedColumnFormula>INDEX(Products!C:C,MATCH(Orders!D2,Products!A:A,0))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10CAA-D40F-490C-BAB6-D83381A8DBFD}">
  <dimension ref="A1:F9"/>
  <sheetViews>
    <sheetView workbookViewId="0">
      <selection activeCell="A4" sqref="A4"/>
    </sheetView>
  </sheetViews>
  <sheetFormatPr defaultRowHeight="14.5" x14ac:dyDescent="0.35"/>
  <cols>
    <col min="1" max="1" width="12.26953125" customWidth="1"/>
    <col min="2" max="2" width="18.6328125" bestFit="1" customWidth="1"/>
    <col min="3" max="3" width="10.26953125" customWidth="1"/>
    <col min="5" max="5" width="12.6328125" customWidth="1"/>
    <col min="6" max="6" width="16.90625" customWidth="1"/>
    <col min="8" max="8" width="16.7265625" bestFit="1" customWidth="1"/>
  </cols>
  <sheetData>
    <row r="1" spans="1:6" x14ac:dyDescent="0.35">
      <c r="A1" t="s">
        <v>0</v>
      </c>
      <c r="B1" t="s">
        <v>1</v>
      </c>
      <c r="C1" t="s">
        <v>2</v>
      </c>
      <c r="D1" t="s">
        <v>3</v>
      </c>
      <c r="E1" t="s">
        <v>4</v>
      </c>
      <c r="F1" t="s">
        <v>5</v>
      </c>
    </row>
    <row r="2" spans="1:6" x14ac:dyDescent="0.35">
      <c r="A2" t="s">
        <v>6</v>
      </c>
      <c r="B2" t="s">
        <v>7</v>
      </c>
      <c r="C2" t="s">
        <v>8</v>
      </c>
      <c r="D2">
        <v>80</v>
      </c>
      <c r="E2">
        <v>220</v>
      </c>
      <c r="F2" s="2">
        <v>0.64</v>
      </c>
    </row>
    <row r="3" spans="1:6" x14ac:dyDescent="0.35">
      <c r="A3" t="s">
        <v>9</v>
      </c>
      <c r="B3" t="s">
        <v>10</v>
      </c>
      <c r="C3" t="s">
        <v>11</v>
      </c>
      <c r="D3">
        <v>180</v>
      </c>
      <c r="E3">
        <v>450</v>
      </c>
      <c r="F3" s="2">
        <v>0.6</v>
      </c>
    </row>
    <row r="4" spans="1:6" x14ac:dyDescent="0.35">
      <c r="A4" t="s">
        <v>12</v>
      </c>
      <c r="B4" t="s">
        <v>13</v>
      </c>
      <c r="C4" t="s">
        <v>14</v>
      </c>
      <c r="D4">
        <v>120</v>
      </c>
      <c r="E4">
        <v>300</v>
      </c>
      <c r="F4" s="2">
        <v>0.6</v>
      </c>
    </row>
    <row r="5" spans="1:6" x14ac:dyDescent="0.35">
      <c r="A5" t="s">
        <v>15</v>
      </c>
      <c r="B5" t="s">
        <v>16</v>
      </c>
      <c r="C5" t="str">
        <f>C2</f>
        <v>Earrings</v>
      </c>
      <c r="D5">
        <v>90</v>
      </c>
      <c r="E5">
        <v>250</v>
      </c>
      <c r="F5" s="2">
        <f>F2</f>
        <v>0.64</v>
      </c>
    </row>
    <row r="6" spans="1:6" x14ac:dyDescent="0.35">
      <c r="A6" t="s">
        <v>17</v>
      </c>
      <c r="B6" t="s">
        <v>18</v>
      </c>
      <c r="C6" t="str">
        <f>C3</f>
        <v>Necklace</v>
      </c>
      <c r="D6">
        <v>100</v>
      </c>
      <c r="E6">
        <v>280</v>
      </c>
      <c r="F6" s="2">
        <f>F5</f>
        <v>0.64</v>
      </c>
    </row>
    <row r="7" spans="1:6" x14ac:dyDescent="0.35">
      <c r="A7" t="s">
        <v>19</v>
      </c>
      <c r="B7" t="s">
        <v>20</v>
      </c>
      <c r="C7" t="s">
        <v>25</v>
      </c>
      <c r="D7">
        <v>60</v>
      </c>
      <c r="E7">
        <v>180</v>
      </c>
      <c r="F7" s="2">
        <v>0.67</v>
      </c>
    </row>
    <row r="8" spans="1:6" x14ac:dyDescent="0.35">
      <c r="A8" t="s">
        <v>21</v>
      </c>
      <c r="B8" t="s">
        <v>22</v>
      </c>
      <c r="C8" t="str">
        <f>C2</f>
        <v>Earrings</v>
      </c>
      <c r="D8">
        <v>70</v>
      </c>
      <c r="E8">
        <v>200</v>
      </c>
      <c r="F8" s="2">
        <v>0.65</v>
      </c>
    </row>
    <row r="9" spans="1:6" x14ac:dyDescent="0.35">
      <c r="A9" t="s">
        <v>23</v>
      </c>
      <c r="B9" t="s">
        <v>24</v>
      </c>
      <c r="C9" t="s">
        <v>26</v>
      </c>
      <c r="D9">
        <v>40</v>
      </c>
      <c r="E9">
        <v>120</v>
      </c>
      <c r="F9" s="2">
        <v>0.67</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566B-5772-4FF1-B426-2E129E7A32DE}">
  <dimension ref="A1:D12"/>
  <sheetViews>
    <sheetView workbookViewId="0">
      <selection activeCell="D7" sqref="D7"/>
    </sheetView>
  </sheetViews>
  <sheetFormatPr defaultRowHeight="14.5" x14ac:dyDescent="0.35"/>
  <cols>
    <col min="1" max="1" width="11.7265625" bestFit="1" customWidth="1"/>
    <col min="2" max="2" width="14.90625" bestFit="1" customWidth="1"/>
    <col min="3" max="3" width="10.26953125" customWidth="1"/>
    <col min="4" max="4" width="14" bestFit="1" customWidth="1"/>
  </cols>
  <sheetData>
    <row r="1" spans="1:4" x14ac:dyDescent="0.35">
      <c r="A1" t="s">
        <v>106</v>
      </c>
      <c r="B1" t="s">
        <v>107</v>
      </c>
      <c r="C1" t="s">
        <v>108</v>
      </c>
      <c r="D1" t="s">
        <v>109</v>
      </c>
    </row>
    <row r="2" spans="1:4" x14ac:dyDescent="0.35">
      <c r="A2" t="s">
        <v>27</v>
      </c>
      <c r="B2" t="s">
        <v>29</v>
      </c>
      <c r="C2" t="s">
        <v>30</v>
      </c>
      <c r="D2" t="s">
        <v>28</v>
      </c>
    </row>
    <row r="3" spans="1:4" x14ac:dyDescent="0.35">
      <c r="A3" t="s">
        <v>31</v>
      </c>
      <c r="B3" t="s">
        <v>41</v>
      </c>
      <c r="C3" t="s">
        <v>51</v>
      </c>
      <c r="D3" t="s">
        <v>57</v>
      </c>
    </row>
    <row r="4" spans="1:4" x14ac:dyDescent="0.35">
      <c r="A4" t="s">
        <v>32</v>
      </c>
      <c r="B4" t="s">
        <v>42</v>
      </c>
      <c r="C4" t="s">
        <v>52</v>
      </c>
      <c r="D4" t="s">
        <v>58</v>
      </c>
    </row>
    <row r="5" spans="1:4" x14ac:dyDescent="0.35">
      <c r="A5" t="s">
        <v>33</v>
      </c>
      <c r="B5" t="s">
        <v>43</v>
      </c>
      <c r="C5" t="s">
        <v>53</v>
      </c>
      <c r="D5" t="s">
        <v>57</v>
      </c>
    </row>
    <row r="6" spans="1:4" x14ac:dyDescent="0.35">
      <c r="A6" t="s">
        <v>34</v>
      </c>
      <c r="B6" t="s">
        <v>44</v>
      </c>
      <c r="C6" t="s">
        <v>54</v>
      </c>
      <c r="D6" t="s">
        <v>58</v>
      </c>
    </row>
    <row r="7" spans="1:4" x14ac:dyDescent="0.35">
      <c r="A7" t="s">
        <v>35</v>
      </c>
      <c r="B7" t="s">
        <v>45</v>
      </c>
      <c r="C7" t="s">
        <v>55</v>
      </c>
      <c r="D7" t="s">
        <v>57</v>
      </c>
    </row>
    <row r="8" spans="1:4" x14ac:dyDescent="0.35">
      <c r="A8" t="s">
        <v>36</v>
      </c>
      <c r="B8" t="s">
        <v>46</v>
      </c>
      <c r="C8" t="str">
        <f>C5</f>
        <v>Bangalore</v>
      </c>
      <c r="D8" t="s">
        <v>58</v>
      </c>
    </row>
    <row r="9" spans="1:4" x14ac:dyDescent="0.35">
      <c r="A9" t="s">
        <v>37</v>
      </c>
      <c r="B9" t="s">
        <v>47</v>
      </c>
      <c r="C9" t="str">
        <f>C3</f>
        <v>Delhi</v>
      </c>
      <c r="D9" t="s">
        <v>57</v>
      </c>
    </row>
    <row r="10" spans="1:4" x14ac:dyDescent="0.35">
      <c r="A10" t="s">
        <v>38</v>
      </c>
      <c r="B10" t="s">
        <v>48</v>
      </c>
      <c r="C10" t="s">
        <v>56</v>
      </c>
      <c r="D10" t="s">
        <v>58</v>
      </c>
    </row>
    <row r="11" spans="1:4" x14ac:dyDescent="0.35">
      <c r="A11" t="s">
        <v>39</v>
      </c>
      <c r="B11" t="s">
        <v>49</v>
      </c>
      <c r="C11" t="str">
        <f>C6</f>
        <v>Jaipur</v>
      </c>
      <c r="D11" t="s">
        <v>57</v>
      </c>
    </row>
    <row r="12" spans="1:4" x14ac:dyDescent="0.35">
      <c r="A12" t="s">
        <v>40</v>
      </c>
      <c r="B12" t="s">
        <v>50</v>
      </c>
      <c r="C12" t="str">
        <f>C3</f>
        <v>Delhi</v>
      </c>
      <c r="D12" t="s">
        <v>58</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ADAB-A662-475A-95CE-7EB654188E1C}">
  <dimension ref="A1:N26"/>
  <sheetViews>
    <sheetView workbookViewId="0">
      <selection activeCell="D19" sqref="D19"/>
    </sheetView>
  </sheetViews>
  <sheetFormatPr defaultRowHeight="14.5" x14ac:dyDescent="0.35"/>
  <cols>
    <col min="1" max="1" width="10.54296875" customWidth="1"/>
    <col min="2" max="2" width="12.7265625" style="3" customWidth="1"/>
    <col min="3" max="3" width="13.81640625" customWidth="1"/>
    <col min="4" max="4" width="12.26953125" customWidth="1"/>
    <col min="5" max="5" width="10.1796875" customWidth="1"/>
    <col min="6" max="6" width="14.453125" customWidth="1"/>
    <col min="7" max="7" width="18.6328125" bestFit="1" customWidth="1"/>
    <col min="8" max="8" width="13.1796875" style="6" customWidth="1"/>
    <col min="9" max="9" width="7.453125" style="6" customWidth="1"/>
    <col min="10" max="10" width="10" style="6" customWidth="1"/>
    <col min="11" max="11" width="13.26953125" style="6" customWidth="1"/>
    <col min="12" max="12" width="10" bestFit="1" customWidth="1"/>
    <col min="13" max="13" width="10.26953125" customWidth="1"/>
  </cols>
  <sheetData>
    <row r="1" spans="1:14" x14ac:dyDescent="0.35">
      <c r="A1" t="s">
        <v>59</v>
      </c>
      <c r="B1" s="3" t="s">
        <v>60</v>
      </c>
      <c r="C1" t="s">
        <v>27</v>
      </c>
      <c r="D1" t="s">
        <v>0</v>
      </c>
      <c r="E1" t="s">
        <v>61</v>
      </c>
      <c r="F1" t="s">
        <v>62</v>
      </c>
      <c r="G1" t="s">
        <v>1</v>
      </c>
      <c r="H1" s="6" t="s">
        <v>88</v>
      </c>
      <c r="I1" s="6" t="s">
        <v>3</v>
      </c>
      <c r="J1" s="6" t="s">
        <v>89</v>
      </c>
      <c r="K1" s="6" t="s">
        <v>90</v>
      </c>
      <c r="L1" t="s">
        <v>30</v>
      </c>
      <c r="M1" s="16" t="s">
        <v>2</v>
      </c>
    </row>
    <row r="2" spans="1:14" x14ac:dyDescent="0.35">
      <c r="A2" s="1" t="s">
        <v>63</v>
      </c>
      <c r="B2" s="4">
        <v>45383</v>
      </c>
      <c r="C2" s="1" t="s">
        <v>31</v>
      </c>
      <c r="D2" s="1" t="s">
        <v>9</v>
      </c>
      <c r="E2" s="1">
        <v>1</v>
      </c>
      <c r="F2" s="5">
        <v>45383</v>
      </c>
      <c r="G2" t="str">
        <f>INDEX(Products!B:B,MATCH(D2,Products!A:A,0))</f>
        <v>Kundan Choker</v>
      </c>
      <c r="H2" s="6">
        <f>INDEX(Products!E:E,MATCH(D2,Products!A:A,0))</f>
        <v>450</v>
      </c>
      <c r="I2" s="6">
        <f>INDEX(Products!D:D,MATCH(D2,Products!A:A,0))</f>
        <v>180</v>
      </c>
      <c r="J2" s="6">
        <f>H2*E2</f>
        <v>450</v>
      </c>
      <c r="K2" s="6">
        <f>(H2-I2)*E2</f>
        <v>270</v>
      </c>
      <c r="L2" t="str">
        <f>INDEX(Custromers!C:C,MATCH(Orders!C2,Custromers!A:A,0))</f>
        <v>Delhi</v>
      </c>
      <c r="M2" t="str">
        <f>INDEX(Products!C:C,MATCH(Orders!D2,Products!A:A,0))</f>
        <v>Necklace</v>
      </c>
    </row>
    <row r="3" spans="1:14" x14ac:dyDescent="0.35">
      <c r="A3" s="1" t="s">
        <v>64</v>
      </c>
      <c r="B3" s="4">
        <v>45387</v>
      </c>
      <c r="C3" s="1" t="s">
        <v>33</v>
      </c>
      <c r="D3" s="1" t="s">
        <v>6</v>
      </c>
      <c r="E3" s="1">
        <v>2</v>
      </c>
      <c r="F3" s="5">
        <v>45383</v>
      </c>
      <c r="G3" t="str">
        <f>INDEX(Products!B:B,MATCH(D3,Products!A:A,0))</f>
        <v>Lotus Stud Earrings</v>
      </c>
      <c r="H3" s="6">
        <f>INDEX(Products!E:E,MATCH(D3,Products!A:A,0))</f>
        <v>220</v>
      </c>
      <c r="I3" s="6">
        <f>INDEX(Products!D:D,MATCH(D3,Products!A:A,0))</f>
        <v>80</v>
      </c>
      <c r="J3" s="6">
        <f t="shared" ref="J3:J26" si="0">H3*E3</f>
        <v>440</v>
      </c>
      <c r="K3" s="6">
        <f t="shared" ref="K3:K26" si="1">(H3-I3)*E3</f>
        <v>280</v>
      </c>
      <c r="L3" t="str">
        <f>INDEX(Custromers!C:C,MATCH(Orders!C3,Custromers!A:A,0))</f>
        <v>Bangalore</v>
      </c>
      <c r="M3" t="str">
        <f>INDEX(Products!C:C,MATCH(Orders!D3,Products!A:A,0))</f>
        <v>Earrings</v>
      </c>
    </row>
    <row r="4" spans="1:14" x14ac:dyDescent="0.35">
      <c r="A4" s="1" t="s">
        <v>65</v>
      </c>
      <c r="B4" s="4">
        <v>45392</v>
      </c>
      <c r="C4" s="1" t="s">
        <v>35</v>
      </c>
      <c r="D4" s="1" t="s">
        <v>19</v>
      </c>
      <c r="E4" s="1">
        <v>1</v>
      </c>
      <c r="F4" s="5">
        <v>45383</v>
      </c>
      <c r="G4" t="str">
        <f>INDEX(Products!B:B,MATCH(D4,Products!A:A,0))</f>
        <v>Ghungroo Anklet</v>
      </c>
      <c r="H4" s="6">
        <f>INDEX(Products!E:E,MATCH(D4,Products!A:A,0))</f>
        <v>180</v>
      </c>
      <c r="I4" s="6">
        <f>INDEX(Products!D:D,MATCH(D4,Products!A:A,0))</f>
        <v>60</v>
      </c>
      <c r="J4" s="6">
        <f t="shared" si="0"/>
        <v>180</v>
      </c>
      <c r="K4" s="6">
        <f t="shared" si="1"/>
        <v>120</v>
      </c>
      <c r="L4" t="str">
        <f>INDEX(Custromers!C:C,MATCH(Orders!C4,Custromers!A:A,0))</f>
        <v>Mumbai</v>
      </c>
      <c r="M4" t="str">
        <f>INDEX(Products!C:C,MATCH(Orders!D4,Products!A:A,0))</f>
        <v>Anklets</v>
      </c>
    </row>
    <row r="5" spans="1:14" x14ac:dyDescent="0.35">
      <c r="A5" s="1" t="s">
        <v>66</v>
      </c>
      <c r="B5" s="4">
        <v>45400</v>
      </c>
      <c r="C5" s="1" t="s">
        <v>32</v>
      </c>
      <c r="D5" s="1" t="s">
        <v>15</v>
      </c>
      <c r="E5" s="1">
        <v>1</v>
      </c>
      <c r="F5" s="5">
        <v>45383</v>
      </c>
      <c r="G5" t="str">
        <f>INDEX(Products!B:B,MATCH(D5,Products!A:A,0))</f>
        <v>Pearl Drop Earrings</v>
      </c>
      <c r="H5" s="6">
        <f>INDEX(Products!E:E,MATCH(D5,Products!A:A,0))</f>
        <v>250</v>
      </c>
      <c r="I5" s="6">
        <f>INDEX(Products!D:D,MATCH(D5,Products!A:A,0))</f>
        <v>90</v>
      </c>
      <c r="J5" s="6">
        <f t="shared" si="0"/>
        <v>250</v>
      </c>
      <c r="K5" s="6">
        <f t="shared" si="1"/>
        <v>160</v>
      </c>
      <c r="L5" t="str">
        <f>INDEX(Custromers!C:C,MATCH(Orders!C5,Custromers!A:A,0))</f>
        <v>Kolkata</v>
      </c>
      <c r="M5" t="str">
        <f>INDEX(Products!C:C,MATCH(Orders!D5,Products!A:A,0))</f>
        <v>Earrings</v>
      </c>
    </row>
    <row r="6" spans="1:14" x14ac:dyDescent="0.35">
      <c r="A6" s="1" t="s">
        <v>67</v>
      </c>
      <c r="B6" s="4">
        <v>45407</v>
      </c>
      <c r="C6" s="1" t="s">
        <v>37</v>
      </c>
      <c r="D6" s="1" t="s">
        <v>12</v>
      </c>
      <c r="E6" s="1">
        <v>1</v>
      </c>
      <c r="F6" s="5">
        <v>45383</v>
      </c>
      <c r="G6" t="str">
        <f>INDEX(Products!B:B,MATCH(D6,Products!A:A,0))</f>
        <v>Oxidised Bangle Set</v>
      </c>
      <c r="H6" s="6">
        <f>INDEX(Products!E:E,MATCH(D6,Products!A:A,0))</f>
        <v>300</v>
      </c>
      <c r="I6" s="6">
        <f>INDEX(Products!D:D,MATCH(D6,Products!A:A,0))</f>
        <v>120</v>
      </c>
      <c r="J6" s="6">
        <f t="shared" si="0"/>
        <v>300</v>
      </c>
      <c r="K6" s="6">
        <f t="shared" si="1"/>
        <v>180</v>
      </c>
      <c r="L6" t="str">
        <f>INDEX(Custromers!C:C,MATCH(Orders!C6,Custromers!A:A,0))</f>
        <v>Delhi</v>
      </c>
      <c r="M6" t="str">
        <f>INDEX(Products!C:C,MATCH(Orders!D6,Products!A:A,0))</f>
        <v>Bangles</v>
      </c>
    </row>
    <row r="7" spans="1:14" x14ac:dyDescent="0.35">
      <c r="A7" s="1" t="s">
        <v>68</v>
      </c>
      <c r="B7" s="4">
        <v>45414</v>
      </c>
      <c r="C7" s="1" t="s">
        <v>34</v>
      </c>
      <c r="D7" s="1" t="s">
        <v>21</v>
      </c>
      <c r="E7" s="1">
        <v>2</v>
      </c>
      <c r="F7" s="5">
        <v>45413</v>
      </c>
      <c r="G7" t="str">
        <f>INDEX(Products!B:B,MATCH(D7,Products!A:A,0))</f>
        <v>Mirror Work Earrings</v>
      </c>
      <c r="H7" s="6">
        <f>INDEX(Products!E:E,MATCH(D7,Products!A:A,0))</f>
        <v>200</v>
      </c>
      <c r="I7" s="6">
        <f>INDEX(Products!D:D,MATCH(D7,Products!A:A,0))</f>
        <v>70</v>
      </c>
      <c r="J7" s="6">
        <f t="shared" si="0"/>
        <v>400</v>
      </c>
      <c r="K7" s="6">
        <f t="shared" si="1"/>
        <v>260</v>
      </c>
      <c r="L7" t="str">
        <f>INDEX(Custromers!C:C,MATCH(Orders!C7,Custromers!A:A,0))</f>
        <v>Jaipur</v>
      </c>
      <c r="M7" t="str">
        <f>INDEX(Products!C:C,MATCH(Orders!D7,Products!A:A,0))</f>
        <v>Earrings</v>
      </c>
    </row>
    <row r="8" spans="1:14" x14ac:dyDescent="0.35">
      <c r="A8" s="1" t="s">
        <v>69</v>
      </c>
      <c r="B8" s="4">
        <v>45420</v>
      </c>
      <c r="C8" s="1" t="s">
        <v>38</v>
      </c>
      <c r="D8" s="1" t="s">
        <v>17</v>
      </c>
      <c r="E8" s="1">
        <v>1</v>
      </c>
      <c r="F8" s="5">
        <v>45413</v>
      </c>
      <c r="G8" t="str">
        <f>INDEX(Products!B:B,MATCH(D8,Products!A:A,0))</f>
        <v>Terracotta Necklace</v>
      </c>
      <c r="H8" s="6">
        <f>INDEX(Products!E:E,MATCH(D8,Products!A:A,0))</f>
        <v>280</v>
      </c>
      <c r="I8" s="6">
        <f>INDEX(Products!D:D,MATCH(D8,Products!A:A,0))</f>
        <v>100</v>
      </c>
      <c r="J8" s="6">
        <f t="shared" si="0"/>
        <v>280</v>
      </c>
      <c r="K8" s="6">
        <f t="shared" si="1"/>
        <v>180</v>
      </c>
      <c r="L8" t="str">
        <f>INDEX(Custromers!C:C,MATCH(Orders!C8,Custromers!A:A,0))</f>
        <v>Hyderabad</v>
      </c>
      <c r="M8" t="str">
        <f>INDEX(Products!C:C,MATCH(Orders!D8,Products!A:A,0))</f>
        <v>Necklace</v>
      </c>
    </row>
    <row r="9" spans="1:14" x14ac:dyDescent="0.35">
      <c r="A9" s="1" t="s">
        <v>70</v>
      </c>
      <c r="B9" s="4">
        <v>45427</v>
      </c>
      <c r="C9" s="1" t="s">
        <v>31</v>
      </c>
      <c r="D9" s="1" t="s">
        <v>9</v>
      </c>
      <c r="E9" s="1">
        <v>1</v>
      </c>
      <c r="F9" s="5">
        <v>45413</v>
      </c>
      <c r="G9" t="str">
        <f>INDEX(Products!B:B,MATCH(D9,Products!A:A,0))</f>
        <v>Kundan Choker</v>
      </c>
      <c r="H9" s="6">
        <f>INDEX(Products!E:E,MATCH(D9,Products!A:A,0))</f>
        <v>450</v>
      </c>
      <c r="I9" s="6">
        <f>INDEX(Products!D:D,MATCH(D9,Products!A:A,0))</f>
        <v>180</v>
      </c>
      <c r="J9" s="6">
        <f t="shared" si="0"/>
        <v>450</v>
      </c>
      <c r="K9" s="6">
        <f t="shared" si="1"/>
        <v>270</v>
      </c>
      <c r="L9" t="str">
        <f>INDEX(Custromers!C:C,MATCH(Orders!C9,Custromers!A:A,0))</f>
        <v>Delhi</v>
      </c>
      <c r="M9" t="str">
        <f>INDEX(Products!C:C,MATCH(Orders!D9,Products!A:A,0))</f>
        <v>Necklace</v>
      </c>
    </row>
    <row r="10" spans="1:14" x14ac:dyDescent="0.35">
      <c r="A10" s="1" t="s">
        <v>71</v>
      </c>
      <c r="B10" s="4">
        <v>45434</v>
      </c>
      <c r="C10" s="1" t="s">
        <v>36</v>
      </c>
      <c r="D10" s="1" t="s">
        <v>6</v>
      </c>
      <c r="E10" s="1">
        <v>3</v>
      </c>
      <c r="F10" s="5">
        <v>45413</v>
      </c>
      <c r="G10" t="str">
        <f>INDEX(Products!B:B,MATCH(D10,Products!A:A,0))</f>
        <v>Lotus Stud Earrings</v>
      </c>
      <c r="H10" s="6">
        <f>INDEX(Products!E:E,MATCH(D10,Products!A:A,0))</f>
        <v>220</v>
      </c>
      <c r="I10" s="6">
        <f>INDEX(Products!D:D,MATCH(D10,Products!A:A,0))</f>
        <v>80</v>
      </c>
      <c r="J10" s="6">
        <f t="shared" si="0"/>
        <v>660</v>
      </c>
      <c r="K10" s="6">
        <f t="shared" si="1"/>
        <v>420</v>
      </c>
      <c r="L10" t="str">
        <f>INDEX(Custromers!C:C,MATCH(Orders!C10,Custromers!A:A,0))</f>
        <v>Bangalore</v>
      </c>
      <c r="M10" t="str">
        <f>INDEX(Products!C:C,MATCH(Orders!D10,Products!A:A,0))</f>
        <v>Earrings</v>
      </c>
    </row>
    <row r="11" spans="1:14" x14ac:dyDescent="0.35">
      <c r="A11" s="1" t="s">
        <v>72</v>
      </c>
      <c r="B11" s="4">
        <v>45440</v>
      </c>
      <c r="C11" s="1" t="s">
        <v>40</v>
      </c>
      <c r="D11" s="1" t="s">
        <v>23</v>
      </c>
      <c r="E11" s="1">
        <v>2</v>
      </c>
      <c r="F11" s="5">
        <v>45413</v>
      </c>
      <c r="G11" t="str">
        <f>INDEX(Products!B:B,MATCH(D11,Products!A:A,0))</f>
        <v>Silver Toe Ring Set</v>
      </c>
      <c r="H11" s="6">
        <f>INDEX(Products!E:E,MATCH(D11,Products!A:A,0))</f>
        <v>120</v>
      </c>
      <c r="I11" s="6">
        <f>INDEX(Products!D:D,MATCH(D11,Products!A:A,0))</f>
        <v>40</v>
      </c>
      <c r="J11" s="6">
        <f t="shared" si="0"/>
        <v>240</v>
      </c>
      <c r="K11" s="6">
        <f t="shared" si="1"/>
        <v>160</v>
      </c>
      <c r="L11" t="str">
        <f>INDEX(Custromers!C:C,MATCH(Orders!C11,Custromers!A:A,0))</f>
        <v>Delhi</v>
      </c>
      <c r="M11" t="str">
        <f>INDEX(Products!C:C,MATCH(Orders!D11,Products!A:A,0))</f>
        <v>Toe Rings</v>
      </c>
    </row>
    <row r="12" spans="1:14" x14ac:dyDescent="0.35">
      <c r="A12" s="1" t="s">
        <v>73</v>
      </c>
      <c r="B12" s="4">
        <v>45446</v>
      </c>
      <c r="C12" s="1" t="s">
        <v>33</v>
      </c>
      <c r="D12" s="1" t="s">
        <v>12</v>
      </c>
      <c r="E12" s="1">
        <v>1</v>
      </c>
      <c r="F12" s="5">
        <v>45444</v>
      </c>
      <c r="G12" t="str">
        <f>INDEX(Products!B:B,MATCH(D12,Products!A:A,0))</f>
        <v>Oxidised Bangle Set</v>
      </c>
      <c r="H12" s="6">
        <f>INDEX(Products!E:E,MATCH(D12,Products!A:A,0))</f>
        <v>300</v>
      </c>
      <c r="I12" s="6">
        <f>INDEX(Products!D:D,MATCH(D12,Products!A:A,0))</f>
        <v>120</v>
      </c>
      <c r="J12" s="6">
        <f t="shared" si="0"/>
        <v>300</v>
      </c>
      <c r="K12" s="6">
        <f t="shared" si="1"/>
        <v>180</v>
      </c>
      <c r="L12" t="str">
        <f>INDEX(Custromers!C:C,MATCH(Orders!C12,Custromers!A:A,0))</f>
        <v>Bangalore</v>
      </c>
      <c r="M12" t="str">
        <f>INDEX(Products!C:C,MATCH(Orders!D12,Products!A:A,0))</f>
        <v>Bangles</v>
      </c>
    </row>
    <row r="13" spans="1:14" x14ac:dyDescent="0.35">
      <c r="A13" s="1" t="s">
        <v>74</v>
      </c>
      <c r="B13" s="4">
        <v>45452</v>
      </c>
      <c r="C13" s="1" t="s">
        <v>39</v>
      </c>
      <c r="D13" s="1" t="s">
        <v>19</v>
      </c>
      <c r="E13" s="1">
        <v>2</v>
      </c>
      <c r="F13" s="5">
        <v>45444</v>
      </c>
      <c r="G13" t="str">
        <f>INDEX(Products!B:B,MATCH(D13,Products!A:A,0))</f>
        <v>Ghungroo Anklet</v>
      </c>
      <c r="H13" s="6">
        <f>INDEX(Products!E:E,MATCH(D13,Products!A:A,0))</f>
        <v>180</v>
      </c>
      <c r="I13" s="6">
        <f>INDEX(Products!D:D,MATCH(D13,Products!A:A,0))</f>
        <v>60</v>
      </c>
      <c r="J13" s="6">
        <f t="shared" si="0"/>
        <v>360</v>
      </c>
      <c r="K13" s="6">
        <f t="shared" si="1"/>
        <v>240</v>
      </c>
      <c r="L13" t="str">
        <f>INDEX(Custromers!C:C,MATCH(Orders!C13,Custromers!A:A,0))</f>
        <v>Jaipur</v>
      </c>
      <c r="M13" t="str">
        <f>INDEX(Products!C:C,MATCH(Orders!D13,Products!A:A,0))</f>
        <v>Anklets</v>
      </c>
    </row>
    <row r="14" spans="1:14" x14ac:dyDescent="0.35">
      <c r="A14" s="1" t="s">
        <v>75</v>
      </c>
      <c r="B14" s="4">
        <v>45457</v>
      </c>
      <c r="C14" s="1" t="s">
        <v>35</v>
      </c>
      <c r="D14" s="1" t="s">
        <v>15</v>
      </c>
      <c r="E14" s="1">
        <v>1</v>
      </c>
      <c r="F14" s="5">
        <v>45444</v>
      </c>
      <c r="G14" t="str">
        <f>INDEX(Products!B:B,MATCH(D14,Products!A:A,0))</f>
        <v>Pearl Drop Earrings</v>
      </c>
      <c r="H14" s="6">
        <f>INDEX(Products!E:E,MATCH(D14,Products!A:A,0))</f>
        <v>250</v>
      </c>
      <c r="I14" s="6">
        <f>INDEX(Products!D:D,MATCH(D14,Products!A:A,0))</f>
        <v>90</v>
      </c>
      <c r="J14" s="6">
        <f t="shared" si="0"/>
        <v>250</v>
      </c>
      <c r="K14" s="6">
        <f t="shared" si="1"/>
        <v>160</v>
      </c>
      <c r="L14" t="str">
        <f>INDEX(Custromers!C:C,MATCH(Orders!C14,Custromers!A:A,0))</f>
        <v>Mumbai</v>
      </c>
      <c r="M14" t="str">
        <f>INDEX(Products!C:C,MATCH(Orders!D14,Products!A:A,0))</f>
        <v>Earrings</v>
      </c>
      <c r="N14" s="6"/>
    </row>
    <row r="15" spans="1:14" x14ac:dyDescent="0.35">
      <c r="A15" s="1" t="s">
        <v>76</v>
      </c>
      <c r="B15" s="4">
        <v>45463</v>
      </c>
      <c r="C15" s="1" t="s">
        <v>32</v>
      </c>
      <c r="D15" s="1" t="s">
        <v>21</v>
      </c>
      <c r="E15" s="1">
        <v>1</v>
      </c>
      <c r="F15" s="5">
        <v>45444</v>
      </c>
      <c r="G15" t="str">
        <f>INDEX(Products!B:B,MATCH(D15,Products!A:A,0))</f>
        <v>Mirror Work Earrings</v>
      </c>
      <c r="H15" s="6">
        <f>INDEX(Products!E:E,MATCH(D15,Products!A:A,0))</f>
        <v>200</v>
      </c>
      <c r="I15" s="6">
        <f>INDEX(Products!D:D,MATCH(D15,Products!A:A,0))</f>
        <v>70</v>
      </c>
      <c r="J15" s="6">
        <f t="shared" si="0"/>
        <v>200</v>
      </c>
      <c r="K15" s="6">
        <f t="shared" si="1"/>
        <v>130</v>
      </c>
      <c r="L15" t="str">
        <f>INDEX(Custromers!C:C,MATCH(Orders!C15,Custromers!A:A,0))</f>
        <v>Kolkata</v>
      </c>
      <c r="M15" t="str">
        <f>INDEX(Products!C:C,MATCH(Orders!D15,Products!A:A,0))</f>
        <v>Earrings</v>
      </c>
    </row>
    <row r="16" spans="1:14" x14ac:dyDescent="0.35">
      <c r="A16" s="1" t="s">
        <v>77</v>
      </c>
      <c r="B16" s="4">
        <v>45470</v>
      </c>
      <c r="C16" s="1" t="s">
        <v>37</v>
      </c>
      <c r="D16" s="1" t="s">
        <v>17</v>
      </c>
      <c r="E16" s="1">
        <v>2</v>
      </c>
      <c r="F16" s="5">
        <v>45444</v>
      </c>
      <c r="G16" t="str">
        <f>INDEX(Products!B:B,MATCH(D16,Products!A:A,0))</f>
        <v>Terracotta Necklace</v>
      </c>
      <c r="H16" s="6">
        <f>INDEX(Products!E:E,MATCH(D16,Products!A:A,0))</f>
        <v>280</v>
      </c>
      <c r="I16" s="6">
        <f>INDEX(Products!D:D,MATCH(D16,Products!A:A,0))</f>
        <v>100</v>
      </c>
      <c r="J16" s="6">
        <f t="shared" si="0"/>
        <v>560</v>
      </c>
      <c r="K16" s="6">
        <f t="shared" si="1"/>
        <v>360</v>
      </c>
      <c r="L16" t="str">
        <f>INDEX(Custromers!C:C,MATCH(Orders!C16,Custromers!A:A,0))</f>
        <v>Delhi</v>
      </c>
      <c r="M16" t="str">
        <f>INDEX(Products!C:C,MATCH(Orders!D16,Products!A:A,0))</f>
        <v>Necklace</v>
      </c>
    </row>
    <row r="17" spans="1:13" x14ac:dyDescent="0.35">
      <c r="A17" s="1" t="s">
        <v>78</v>
      </c>
      <c r="B17" s="4">
        <v>45477</v>
      </c>
      <c r="C17" s="1" t="s">
        <v>34</v>
      </c>
      <c r="D17" s="1" t="s">
        <v>9</v>
      </c>
      <c r="E17" s="1">
        <v>1</v>
      </c>
      <c r="F17" s="5">
        <v>45474</v>
      </c>
      <c r="G17" t="str">
        <f>INDEX(Products!B:B,MATCH(D17,Products!A:A,0))</f>
        <v>Kundan Choker</v>
      </c>
      <c r="H17" s="6">
        <f>INDEX(Products!E:E,MATCH(D17,Products!A:A,0))</f>
        <v>450</v>
      </c>
      <c r="I17" s="6">
        <f>INDEX(Products!D:D,MATCH(D17,Products!A:A,0))</f>
        <v>180</v>
      </c>
      <c r="J17" s="6">
        <f t="shared" si="0"/>
        <v>450</v>
      </c>
      <c r="K17" s="6">
        <f t="shared" si="1"/>
        <v>270</v>
      </c>
      <c r="L17" t="str">
        <f>INDEX(Custromers!C:C,MATCH(Orders!C17,Custromers!A:A,0))</f>
        <v>Jaipur</v>
      </c>
      <c r="M17" t="str">
        <f>INDEX(Products!C:C,MATCH(Orders!D17,Products!A:A,0))</f>
        <v>Necklace</v>
      </c>
    </row>
    <row r="18" spans="1:13" x14ac:dyDescent="0.35">
      <c r="A18" s="1" t="s">
        <v>79</v>
      </c>
      <c r="B18" s="4">
        <v>45484</v>
      </c>
      <c r="C18" s="1" t="s">
        <v>31</v>
      </c>
      <c r="D18" s="1" t="s">
        <v>6</v>
      </c>
      <c r="E18" s="1">
        <v>2</v>
      </c>
      <c r="F18" s="5">
        <v>45474</v>
      </c>
      <c r="G18" t="str">
        <f>INDEX(Products!B:B,MATCH(D18,Products!A:A,0))</f>
        <v>Lotus Stud Earrings</v>
      </c>
      <c r="H18" s="6">
        <f>INDEX(Products!E:E,MATCH(D18,Products!A:A,0))</f>
        <v>220</v>
      </c>
      <c r="I18" s="6">
        <f>INDEX(Products!D:D,MATCH(D18,Products!A:A,0))</f>
        <v>80</v>
      </c>
      <c r="J18" s="6">
        <f t="shared" si="0"/>
        <v>440</v>
      </c>
      <c r="K18" s="6">
        <f t="shared" si="1"/>
        <v>280</v>
      </c>
      <c r="L18" t="str">
        <f>INDEX(Custromers!C:C,MATCH(Orders!C18,Custromers!A:A,0))</f>
        <v>Delhi</v>
      </c>
      <c r="M18" t="str">
        <f>INDEX(Products!C:C,MATCH(Orders!D18,Products!A:A,0))</f>
        <v>Earrings</v>
      </c>
    </row>
    <row r="19" spans="1:13" x14ac:dyDescent="0.35">
      <c r="A19" s="1" t="s">
        <v>80</v>
      </c>
      <c r="B19" s="4">
        <v>45492</v>
      </c>
      <c r="C19" s="1" t="s">
        <v>38</v>
      </c>
      <c r="D19" s="1" t="s">
        <v>12</v>
      </c>
      <c r="E19" s="1">
        <v>1</v>
      </c>
      <c r="F19" s="5">
        <v>45474</v>
      </c>
      <c r="G19" t="str">
        <f>INDEX(Products!B:B,MATCH(D19,Products!A:A,0))</f>
        <v>Oxidised Bangle Set</v>
      </c>
      <c r="H19" s="6">
        <f>INDEX(Products!E:E,MATCH(D19,Products!A:A,0))</f>
        <v>300</v>
      </c>
      <c r="I19" s="6">
        <f>INDEX(Products!D:D,MATCH(D19,Products!A:A,0))</f>
        <v>120</v>
      </c>
      <c r="J19" s="6">
        <f t="shared" si="0"/>
        <v>300</v>
      </c>
      <c r="K19" s="6">
        <f t="shared" si="1"/>
        <v>180</v>
      </c>
      <c r="L19" t="str">
        <f>INDEX(Custromers!C:C,MATCH(Orders!C19,Custromers!A:A,0))</f>
        <v>Hyderabad</v>
      </c>
      <c r="M19" t="str">
        <f>INDEX(Products!C:C,MATCH(Orders!D19,Products!A:A,0))</f>
        <v>Bangles</v>
      </c>
    </row>
    <row r="20" spans="1:13" x14ac:dyDescent="0.35">
      <c r="A20" s="1" t="s">
        <v>81</v>
      </c>
      <c r="B20" s="4">
        <v>45498</v>
      </c>
      <c r="C20" s="1" t="s">
        <v>40</v>
      </c>
      <c r="D20" s="1" t="s">
        <v>19</v>
      </c>
      <c r="E20" s="1">
        <v>3</v>
      </c>
      <c r="F20" s="5">
        <v>45474</v>
      </c>
      <c r="G20" t="str">
        <f>INDEX(Products!B:B,MATCH(D20,Products!A:A,0))</f>
        <v>Ghungroo Anklet</v>
      </c>
      <c r="H20" s="6">
        <f>INDEX(Products!E:E,MATCH(D20,Products!A:A,0))</f>
        <v>180</v>
      </c>
      <c r="I20" s="6">
        <f>INDEX(Products!D:D,MATCH(D20,Products!A:A,0))</f>
        <v>60</v>
      </c>
      <c r="J20" s="6">
        <f t="shared" si="0"/>
        <v>540</v>
      </c>
      <c r="K20" s="6">
        <f t="shared" si="1"/>
        <v>360</v>
      </c>
      <c r="L20" t="str">
        <f>INDEX(Custromers!C:C,MATCH(Orders!C20,Custromers!A:A,0))</f>
        <v>Delhi</v>
      </c>
      <c r="M20" t="str">
        <f>INDEX(Products!C:C,MATCH(Orders!D20,Products!A:A,0))</f>
        <v>Anklets</v>
      </c>
    </row>
    <row r="21" spans="1:13" x14ac:dyDescent="0.35">
      <c r="A21" s="1" t="s">
        <v>82</v>
      </c>
      <c r="B21" s="4">
        <v>45503</v>
      </c>
      <c r="C21" s="1" t="s">
        <v>36</v>
      </c>
      <c r="D21" s="1" t="s">
        <v>15</v>
      </c>
      <c r="E21" s="1">
        <v>1</v>
      </c>
      <c r="F21" s="5">
        <v>45474</v>
      </c>
      <c r="G21" t="str">
        <f>INDEX(Products!B:B,MATCH(D21,Products!A:A,0))</f>
        <v>Pearl Drop Earrings</v>
      </c>
      <c r="H21" s="6">
        <f>INDEX(Products!E:E,MATCH(D21,Products!A:A,0))</f>
        <v>250</v>
      </c>
      <c r="I21" s="6">
        <f>INDEX(Products!D:D,MATCH(D21,Products!A:A,0))</f>
        <v>90</v>
      </c>
      <c r="J21" s="6">
        <f t="shared" si="0"/>
        <v>250</v>
      </c>
      <c r="K21" s="6">
        <f t="shared" si="1"/>
        <v>160</v>
      </c>
      <c r="L21" t="str">
        <f>INDEX(Custromers!C:C,MATCH(Orders!C21,Custromers!A:A,0))</f>
        <v>Bangalore</v>
      </c>
      <c r="M21" t="str">
        <f>INDEX(Products!C:C,MATCH(Orders!D21,Products!A:A,0))</f>
        <v>Earrings</v>
      </c>
    </row>
    <row r="22" spans="1:13" x14ac:dyDescent="0.35">
      <c r="A22" s="1" t="s">
        <v>83</v>
      </c>
      <c r="B22" s="4">
        <v>45509</v>
      </c>
      <c r="C22" s="1" t="s">
        <v>33</v>
      </c>
      <c r="D22" s="1" t="s">
        <v>21</v>
      </c>
      <c r="E22" s="1">
        <v>2</v>
      </c>
      <c r="F22" s="5">
        <v>45505</v>
      </c>
      <c r="G22" t="str">
        <f>INDEX(Products!B:B,MATCH(D22,Products!A:A,0))</f>
        <v>Mirror Work Earrings</v>
      </c>
      <c r="H22" s="6">
        <f>INDEX(Products!E:E,MATCH(D22,Products!A:A,0))</f>
        <v>200</v>
      </c>
      <c r="I22" s="6">
        <f>INDEX(Products!D:D,MATCH(D22,Products!A:A,0))</f>
        <v>70</v>
      </c>
      <c r="J22" s="6">
        <f t="shared" si="0"/>
        <v>400</v>
      </c>
      <c r="K22" s="6">
        <f t="shared" si="1"/>
        <v>260</v>
      </c>
      <c r="L22" t="str">
        <f>INDEX(Custromers!C:C,MATCH(Orders!C22,Custromers!A:A,0))</f>
        <v>Bangalore</v>
      </c>
      <c r="M22" t="str">
        <f>INDEX(Products!C:C,MATCH(Orders!D22,Products!A:A,0))</f>
        <v>Earrings</v>
      </c>
    </row>
    <row r="23" spans="1:13" x14ac:dyDescent="0.35">
      <c r="A23" s="1" t="s">
        <v>84</v>
      </c>
      <c r="B23" s="4">
        <v>45516</v>
      </c>
      <c r="C23" s="1" t="s">
        <v>39</v>
      </c>
      <c r="D23" s="1" t="s">
        <v>17</v>
      </c>
      <c r="E23" s="1">
        <v>1</v>
      </c>
      <c r="F23" s="5">
        <v>45505</v>
      </c>
      <c r="G23" t="str">
        <f>INDEX(Products!B:B,MATCH(D23,Products!A:A,0))</f>
        <v>Terracotta Necklace</v>
      </c>
      <c r="H23" s="6">
        <f>INDEX(Products!E:E,MATCH(D23,Products!A:A,0))</f>
        <v>280</v>
      </c>
      <c r="I23" s="6">
        <f>INDEX(Products!D:D,MATCH(D23,Products!A:A,0))</f>
        <v>100</v>
      </c>
      <c r="J23" s="6">
        <f t="shared" si="0"/>
        <v>280</v>
      </c>
      <c r="K23" s="6">
        <f t="shared" si="1"/>
        <v>180</v>
      </c>
      <c r="L23" t="str">
        <f>INDEX(Custromers!C:C,MATCH(Orders!C23,Custromers!A:A,0))</f>
        <v>Jaipur</v>
      </c>
      <c r="M23" t="str">
        <f>INDEX(Products!C:C,MATCH(Orders!D23,Products!A:A,0))</f>
        <v>Necklace</v>
      </c>
    </row>
    <row r="24" spans="1:13" x14ac:dyDescent="0.35">
      <c r="A24" s="1" t="s">
        <v>85</v>
      </c>
      <c r="B24" s="4">
        <v>45522</v>
      </c>
      <c r="C24" s="1" t="s">
        <v>35</v>
      </c>
      <c r="D24" s="1" t="s">
        <v>9</v>
      </c>
      <c r="E24" s="1">
        <v>1</v>
      </c>
      <c r="F24" s="5">
        <v>45505</v>
      </c>
      <c r="G24" t="str">
        <f>INDEX(Products!B:B,MATCH(D24,Products!A:A,0))</f>
        <v>Kundan Choker</v>
      </c>
      <c r="H24" s="6">
        <f>INDEX(Products!E:E,MATCH(D24,Products!A:A,0))</f>
        <v>450</v>
      </c>
      <c r="I24" s="6">
        <f>INDEX(Products!D:D,MATCH(D24,Products!A:A,0))</f>
        <v>180</v>
      </c>
      <c r="J24" s="6">
        <f t="shared" si="0"/>
        <v>450</v>
      </c>
      <c r="K24" s="6">
        <f t="shared" si="1"/>
        <v>270</v>
      </c>
      <c r="L24" t="str">
        <f>INDEX(Custromers!C:C,MATCH(Orders!C24,Custromers!A:A,0))</f>
        <v>Mumbai</v>
      </c>
      <c r="M24" t="str">
        <f>INDEX(Products!C:C,MATCH(Orders!D24,Products!A:A,0))</f>
        <v>Necklace</v>
      </c>
    </row>
    <row r="25" spans="1:13" x14ac:dyDescent="0.35">
      <c r="A25" s="1" t="s">
        <v>86</v>
      </c>
      <c r="B25" s="4">
        <v>45528</v>
      </c>
      <c r="C25" s="1" t="s">
        <v>31</v>
      </c>
      <c r="D25" s="1" t="s">
        <v>23</v>
      </c>
      <c r="E25" s="1">
        <v>4</v>
      </c>
      <c r="F25" s="5">
        <v>45505</v>
      </c>
      <c r="G25" t="str">
        <f>INDEX(Products!B:B,MATCH(D25,Products!A:A,0))</f>
        <v>Silver Toe Ring Set</v>
      </c>
      <c r="H25" s="6">
        <f>INDEX(Products!E:E,MATCH(D25,Products!A:A,0))</f>
        <v>120</v>
      </c>
      <c r="I25" s="6">
        <f>INDEX(Products!D:D,MATCH(D25,Products!A:A,0))</f>
        <v>40</v>
      </c>
      <c r="J25" s="6">
        <f t="shared" si="0"/>
        <v>480</v>
      </c>
      <c r="K25" s="6">
        <f t="shared" si="1"/>
        <v>320</v>
      </c>
      <c r="L25" t="str">
        <f>INDEX(Custromers!C:C,MATCH(Orders!C25,Custromers!A:A,0))</f>
        <v>Delhi</v>
      </c>
      <c r="M25" t="str">
        <f>INDEX(Products!C:C,MATCH(Orders!D25,Products!A:A,0))</f>
        <v>Toe Rings</v>
      </c>
    </row>
    <row r="26" spans="1:13" x14ac:dyDescent="0.35">
      <c r="A26" s="1" t="s">
        <v>87</v>
      </c>
      <c r="B26" s="4">
        <v>45533</v>
      </c>
      <c r="C26" s="1" t="s">
        <v>37</v>
      </c>
      <c r="D26" s="1" t="s">
        <v>12</v>
      </c>
      <c r="E26" s="1">
        <v>2</v>
      </c>
      <c r="F26" s="5">
        <v>45505</v>
      </c>
      <c r="G26" t="str">
        <f>INDEX(Products!B:B,MATCH(D26,Products!A:A,0))</f>
        <v>Oxidised Bangle Set</v>
      </c>
      <c r="H26" s="6">
        <f>INDEX(Products!E:E,MATCH(D26,Products!A:A,0))</f>
        <v>300</v>
      </c>
      <c r="I26" s="6">
        <f>INDEX(Products!D:D,MATCH(D26,Products!A:A,0))</f>
        <v>120</v>
      </c>
      <c r="J26" s="6">
        <f t="shared" si="0"/>
        <v>600</v>
      </c>
      <c r="K26" s="6">
        <f t="shared" si="1"/>
        <v>360</v>
      </c>
      <c r="L26" t="str">
        <f>INDEX(Custromers!C:C,MATCH(Orders!C26,Custromers!A:A,0))</f>
        <v>Delhi</v>
      </c>
      <c r="M26" t="str">
        <f>INDEX(Products!C:C,MATCH(Orders!D26,Products!A:A,0))</f>
        <v>Bangles</v>
      </c>
    </row>
  </sheetData>
  <conditionalFormatting sqref="J2:J26">
    <cfRule type="colorScale" priority="2">
      <colorScale>
        <cfvo type="min"/>
        <cfvo type="percentile" val="50"/>
        <cfvo type="max"/>
        <color rgb="FFF8696B"/>
        <color rgb="FFFFEB84"/>
        <color rgb="FF63BE7B"/>
      </colorScale>
    </cfRule>
  </conditionalFormatting>
  <conditionalFormatting sqref="K2:K2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029F-C3F2-417C-8834-7F1003EC6151}">
  <dimension ref="A3:B9"/>
  <sheetViews>
    <sheetView workbookViewId="0">
      <selection activeCell="F8" sqref="F8"/>
    </sheetView>
  </sheetViews>
  <sheetFormatPr defaultRowHeight="14.5" x14ac:dyDescent="0.35"/>
  <cols>
    <col min="1" max="1" width="12.36328125" bestFit="1" customWidth="1"/>
    <col min="2" max="2" width="14.36328125" bestFit="1" customWidth="1"/>
  </cols>
  <sheetData>
    <row r="3" spans="1:2" x14ac:dyDescent="0.35">
      <c r="A3" s="7" t="s">
        <v>91</v>
      </c>
      <c r="B3" t="s">
        <v>92</v>
      </c>
    </row>
    <row r="4" spans="1:2" x14ac:dyDescent="0.35">
      <c r="A4" s="8">
        <v>45383</v>
      </c>
      <c r="B4" s="6">
        <v>1620</v>
      </c>
    </row>
    <row r="5" spans="1:2" x14ac:dyDescent="0.35">
      <c r="A5" s="8">
        <v>45413</v>
      </c>
      <c r="B5" s="6">
        <v>2030</v>
      </c>
    </row>
    <row r="6" spans="1:2" x14ac:dyDescent="0.35">
      <c r="A6" s="8">
        <v>45444</v>
      </c>
      <c r="B6" s="6">
        <v>1670</v>
      </c>
    </row>
    <row r="7" spans="1:2" x14ac:dyDescent="0.35">
      <c r="A7" s="8">
        <v>45474</v>
      </c>
      <c r="B7" s="6">
        <v>1980</v>
      </c>
    </row>
    <row r="8" spans="1:2" x14ac:dyDescent="0.35">
      <c r="A8" s="8">
        <v>45505</v>
      </c>
      <c r="B8" s="6">
        <v>2210</v>
      </c>
    </row>
    <row r="9" spans="1:2" x14ac:dyDescent="0.35">
      <c r="A9" s="8" t="s">
        <v>93</v>
      </c>
      <c r="B9" s="6">
        <v>9510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DD40-5197-4E99-A9E4-19373B4DE58A}">
  <dimension ref="A3:C12"/>
  <sheetViews>
    <sheetView topLeftCell="A3" workbookViewId="0">
      <selection activeCell="E9" sqref="E9"/>
    </sheetView>
  </sheetViews>
  <sheetFormatPr defaultRowHeight="14.5" x14ac:dyDescent="0.35"/>
  <cols>
    <col min="1" max="1" width="18.6328125" bestFit="1" customWidth="1"/>
    <col min="2" max="2" width="14.36328125" bestFit="1" customWidth="1"/>
    <col min="3" max="3" width="17.7265625" bestFit="1" customWidth="1"/>
  </cols>
  <sheetData>
    <row r="3" spans="1:3" x14ac:dyDescent="0.35">
      <c r="A3" s="7" t="s">
        <v>91</v>
      </c>
      <c r="B3" t="s">
        <v>92</v>
      </c>
      <c r="C3" t="s">
        <v>94</v>
      </c>
    </row>
    <row r="4" spans="1:3" x14ac:dyDescent="0.35">
      <c r="A4" s="9" t="s">
        <v>20</v>
      </c>
      <c r="B4" s="6">
        <v>1080</v>
      </c>
      <c r="C4" s="6">
        <v>720</v>
      </c>
    </row>
    <row r="5" spans="1:3" x14ac:dyDescent="0.35">
      <c r="A5" s="9" t="s">
        <v>10</v>
      </c>
      <c r="B5" s="6">
        <v>1800</v>
      </c>
      <c r="C5" s="6">
        <v>1080</v>
      </c>
    </row>
    <row r="6" spans="1:3" x14ac:dyDescent="0.35">
      <c r="A6" s="9" t="s">
        <v>7</v>
      </c>
      <c r="B6" s="6">
        <v>1540</v>
      </c>
      <c r="C6" s="6">
        <v>980</v>
      </c>
    </row>
    <row r="7" spans="1:3" x14ac:dyDescent="0.35">
      <c r="A7" s="9" t="s">
        <v>22</v>
      </c>
      <c r="B7" s="6">
        <v>1000</v>
      </c>
      <c r="C7" s="6">
        <v>650</v>
      </c>
    </row>
    <row r="8" spans="1:3" x14ac:dyDescent="0.35">
      <c r="A8" s="9" t="s">
        <v>13</v>
      </c>
      <c r="B8" s="6">
        <v>1500</v>
      </c>
      <c r="C8" s="6">
        <v>900</v>
      </c>
    </row>
    <row r="9" spans="1:3" x14ac:dyDescent="0.35">
      <c r="A9" s="9" t="s">
        <v>16</v>
      </c>
      <c r="B9" s="6">
        <v>750</v>
      </c>
      <c r="C9" s="6">
        <v>480</v>
      </c>
    </row>
    <row r="10" spans="1:3" x14ac:dyDescent="0.35">
      <c r="A10" s="9" t="s">
        <v>24</v>
      </c>
      <c r="B10" s="6">
        <v>720</v>
      </c>
      <c r="C10" s="6">
        <v>480</v>
      </c>
    </row>
    <row r="11" spans="1:3" x14ac:dyDescent="0.35">
      <c r="A11" s="9" t="s">
        <v>18</v>
      </c>
      <c r="B11" s="6">
        <v>1120</v>
      </c>
      <c r="C11" s="6">
        <v>720</v>
      </c>
    </row>
    <row r="12" spans="1:3" x14ac:dyDescent="0.35">
      <c r="A12" s="9" t="s">
        <v>93</v>
      </c>
      <c r="B12" s="6">
        <v>9510</v>
      </c>
      <c r="C12" s="6">
        <v>6010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9AFD3-43B0-4244-9AEE-4DFA35D96FFA}">
  <dimension ref="A3:B9"/>
  <sheetViews>
    <sheetView workbookViewId="0">
      <selection activeCell="F5" sqref="F5"/>
    </sheetView>
  </sheetViews>
  <sheetFormatPr defaultRowHeight="14.5" x14ac:dyDescent="0.35"/>
  <cols>
    <col min="1" max="1" width="12.36328125" bestFit="1" customWidth="1"/>
    <col min="2" max="2" width="14.36328125" bestFit="1" customWidth="1"/>
  </cols>
  <sheetData>
    <row r="3" spans="1:2" x14ac:dyDescent="0.35">
      <c r="A3" s="7" t="s">
        <v>91</v>
      </c>
      <c r="B3" t="s">
        <v>92</v>
      </c>
    </row>
    <row r="4" spans="1:2" x14ac:dyDescent="0.35">
      <c r="A4" s="9" t="s">
        <v>25</v>
      </c>
      <c r="B4" s="6">
        <v>1080</v>
      </c>
    </row>
    <row r="5" spans="1:2" x14ac:dyDescent="0.35">
      <c r="A5" s="9" t="s">
        <v>14</v>
      </c>
      <c r="B5" s="6">
        <v>1500</v>
      </c>
    </row>
    <row r="6" spans="1:2" x14ac:dyDescent="0.35">
      <c r="A6" s="9" t="s">
        <v>8</v>
      </c>
      <c r="B6" s="6">
        <v>3290</v>
      </c>
    </row>
    <row r="7" spans="1:2" x14ac:dyDescent="0.35">
      <c r="A7" s="9" t="s">
        <v>11</v>
      </c>
      <c r="B7" s="6">
        <v>2920</v>
      </c>
    </row>
    <row r="8" spans="1:2" x14ac:dyDescent="0.35">
      <c r="A8" s="9" t="s">
        <v>26</v>
      </c>
      <c r="B8" s="6">
        <v>720</v>
      </c>
    </row>
    <row r="9" spans="1:2" x14ac:dyDescent="0.35">
      <c r="A9" s="9" t="s">
        <v>93</v>
      </c>
      <c r="B9" s="6">
        <v>9510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25D8-04E1-4BEF-BEBC-BF0D744F69F7}">
  <dimension ref="A3:B10"/>
  <sheetViews>
    <sheetView workbookViewId="0">
      <selection activeCell="F6" sqref="F6"/>
    </sheetView>
  </sheetViews>
  <sheetFormatPr defaultRowHeight="14.5" x14ac:dyDescent="0.35"/>
  <cols>
    <col min="1" max="1" width="12.36328125" bestFit="1" customWidth="1"/>
    <col min="2" max="2" width="14.36328125" bestFit="1" customWidth="1"/>
  </cols>
  <sheetData>
    <row r="3" spans="1:2" x14ac:dyDescent="0.35">
      <c r="A3" s="7" t="s">
        <v>91</v>
      </c>
      <c r="B3" t="s">
        <v>92</v>
      </c>
    </row>
    <row r="4" spans="1:2" x14ac:dyDescent="0.35">
      <c r="A4" s="9" t="s">
        <v>53</v>
      </c>
      <c r="B4" s="6">
        <v>2050</v>
      </c>
    </row>
    <row r="5" spans="1:2" x14ac:dyDescent="0.35">
      <c r="A5" s="9" t="s">
        <v>51</v>
      </c>
      <c r="B5" s="6">
        <v>4060</v>
      </c>
    </row>
    <row r="6" spans="1:2" x14ac:dyDescent="0.35">
      <c r="A6" s="9" t="s">
        <v>56</v>
      </c>
      <c r="B6" s="6">
        <v>580</v>
      </c>
    </row>
    <row r="7" spans="1:2" x14ac:dyDescent="0.35">
      <c r="A7" s="9" t="s">
        <v>54</v>
      </c>
      <c r="B7" s="6">
        <v>1490</v>
      </c>
    </row>
    <row r="8" spans="1:2" x14ac:dyDescent="0.35">
      <c r="A8" s="9" t="s">
        <v>52</v>
      </c>
      <c r="B8" s="6">
        <v>450</v>
      </c>
    </row>
    <row r="9" spans="1:2" x14ac:dyDescent="0.35">
      <c r="A9" s="9" t="s">
        <v>55</v>
      </c>
      <c r="B9" s="6">
        <v>880</v>
      </c>
    </row>
    <row r="10" spans="1:2" x14ac:dyDescent="0.35">
      <c r="A10" s="9" t="s">
        <v>93</v>
      </c>
      <c r="B10" s="6">
        <v>9510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338CC-2769-4DDC-9D14-3B22DB928175}">
  <dimension ref="B2:C52"/>
  <sheetViews>
    <sheetView tabSelected="1" zoomScale="78" zoomScaleNormal="54" workbookViewId="0">
      <selection activeCell="P21" sqref="P21"/>
    </sheetView>
  </sheetViews>
  <sheetFormatPr defaultRowHeight="14.5" x14ac:dyDescent="0.35"/>
  <cols>
    <col min="1" max="1" width="10.08984375" bestFit="1" customWidth="1"/>
    <col min="2" max="2" width="35.1796875" customWidth="1"/>
    <col min="3" max="3" width="17.6328125" customWidth="1"/>
  </cols>
  <sheetData>
    <row r="2" spans="2:3" ht="23.5" x14ac:dyDescent="0.35">
      <c r="B2" s="10" t="s">
        <v>110</v>
      </c>
    </row>
    <row r="3" spans="2:3" x14ac:dyDescent="0.35">
      <c r="B3" s="11" t="s">
        <v>105</v>
      </c>
    </row>
    <row r="7" spans="2:3" ht="18.5" x14ac:dyDescent="0.45">
      <c r="B7" s="12" t="s">
        <v>95</v>
      </c>
      <c r="C7" s="13">
        <f>SUM(Orders!J:J)</f>
        <v>9510</v>
      </c>
    </row>
    <row r="8" spans="2:3" ht="18.5" x14ac:dyDescent="0.45">
      <c r="B8" s="12" t="s">
        <v>96</v>
      </c>
      <c r="C8" s="13">
        <f>COUNTA(Orders!A:A)-1</f>
        <v>25</v>
      </c>
    </row>
    <row r="9" spans="2:3" ht="18.5" x14ac:dyDescent="0.45">
      <c r="B9" s="12" t="s">
        <v>97</v>
      </c>
      <c r="C9" s="13">
        <f>C7/C8</f>
        <v>380.4</v>
      </c>
    </row>
    <row r="10" spans="2:3" ht="18.5" x14ac:dyDescent="0.45">
      <c r="B10" s="12" t="s">
        <v>98</v>
      </c>
      <c r="C10" s="13">
        <f>SUM(Orders!K:K)</f>
        <v>6010</v>
      </c>
    </row>
    <row r="11" spans="2:3" ht="18.5" x14ac:dyDescent="0.45">
      <c r="B11" s="12" t="s">
        <v>99</v>
      </c>
      <c r="C11" s="14">
        <f>C10/C7</f>
        <v>0.63196635120925337</v>
      </c>
    </row>
    <row r="12" spans="2:3" ht="18.5" x14ac:dyDescent="0.45">
      <c r="B12" s="12" t="s">
        <v>101</v>
      </c>
      <c r="C12" s="18">
        <f>C7/C13</f>
        <v>950.99999999999989</v>
      </c>
    </row>
    <row r="13" spans="2:3" ht="18.5" x14ac:dyDescent="0.45">
      <c r="B13" s="12" t="s">
        <v>102</v>
      </c>
      <c r="C13" s="18">
        <f>SUMPRODUCT(1/COUNTIF(Orders!C2:C26,Orders!C2:C26))</f>
        <v>10.000000000000002</v>
      </c>
    </row>
    <row r="14" spans="2:3" x14ac:dyDescent="0.35">
      <c r="B14" s="12" t="s">
        <v>103</v>
      </c>
      <c r="C14" s="17" t="s">
        <v>104</v>
      </c>
    </row>
    <row r="40" spans="2:2" x14ac:dyDescent="0.35">
      <c r="B40" s="15"/>
    </row>
    <row r="52" spans="2:2" x14ac:dyDescent="0.35">
      <c r="B52" s="15" t="s">
        <v>100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Custromers</vt:lpstr>
      <vt:lpstr>Orders</vt:lpstr>
      <vt:lpstr>Pivot_month</vt:lpstr>
      <vt:lpstr>Pivot_product</vt:lpstr>
      <vt:lpstr>Pivot_category</vt:lpstr>
      <vt:lpstr>Pivot_city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Sanskriti Pandey</dc:creator>
  <cp:lastModifiedBy>Sanskriti Pandey</cp:lastModifiedBy>
  <cp:lastPrinted>2026-06-25T11:40:52Z</cp:lastPrinted>
  <dcterms:created xsi:type="dcterms:W3CDTF">2026-06-24T17:19:27Z</dcterms:created>
  <dcterms:modified xsi:type="dcterms:W3CDTF">2026-06-25T15:24:24Z</dcterms:modified>
</cp:coreProperties>
</file>